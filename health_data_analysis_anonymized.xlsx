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OneDrive\Desktop\Health Data\"/>
    </mc:Choice>
  </mc:AlternateContent>
  <xr:revisionPtr revIDLastSave="0" documentId="13_ncr:1_{AB29B7D1-97D5-4790-AA0B-2A6ECA8665C5}" xr6:coauthVersionLast="47" xr6:coauthVersionMax="47" xr10:uidLastSave="{00000000-0000-0000-0000-000000000000}"/>
  <bookViews>
    <workbookView xWindow="-120" yWindow="-120" windowWidth="29040" windowHeight="15720" xr2:uid="{454A5513-7634-4971-8E04-3D5C38AC7DD5}"/>
  </bookViews>
  <sheets>
    <sheet name="Clean Data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8" l="1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" i="8"/>
  <c r="L4" i="8"/>
  <c r="L5" i="8"/>
  <c r="L3" i="8"/>
  <c r="N3" i="8" l="1"/>
  <c r="P3" i="8"/>
  <c r="O3" i="8"/>
  <c r="O5" i="8"/>
  <c r="N5" i="8"/>
  <c r="N4" i="8"/>
  <c r="O4" i="8"/>
  <c r="P4" i="8"/>
  <c r="P5" i="8"/>
</calcChain>
</file>

<file path=xl/sharedStrings.xml><?xml version="1.0" encoding="utf-8"?>
<sst xmlns="http://schemas.openxmlformats.org/spreadsheetml/2006/main" count="165" uniqueCount="21">
  <si>
    <t>HRV</t>
  </si>
  <si>
    <t>RHR</t>
  </si>
  <si>
    <t>Sleep</t>
  </si>
  <si>
    <t>Phase</t>
  </si>
  <si>
    <t>Pre</t>
  </si>
  <si>
    <t>Fasting</t>
  </si>
  <si>
    <t>Post</t>
  </si>
  <si>
    <t>Avg HRV</t>
  </si>
  <si>
    <t>Avg RHR</t>
  </si>
  <si>
    <t>Avg Sleep</t>
  </si>
  <si>
    <t>Start Fast</t>
  </si>
  <si>
    <t>End Fast</t>
  </si>
  <si>
    <t>No. of Days</t>
  </si>
  <si>
    <t>7D HRV</t>
  </si>
  <si>
    <t>NA</t>
  </si>
  <si>
    <t>Phase Avg HRV</t>
  </si>
  <si>
    <t>Phase Avg RHR</t>
  </si>
  <si>
    <t>Decrease</t>
  </si>
  <si>
    <t>Increase</t>
  </si>
  <si>
    <t>Study Day</t>
  </si>
  <si>
    <t>Prev Night 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</si>
</sst>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Sleep VS Heart Rate Variability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Data'!$C$1</c:f>
              <c:strCache>
                <c:ptCount val="1"/>
                <c:pt idx="0">
                  <c:v>HRV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848528522054783"/>
                  <c:y val="-6.19589830682929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'Clean Data'!$G$9:$G$97</c:f>
              <c:numCache>
                <c:formatCode>General</c:formatCode>
                <c:ptCount val="89"/>
                <c:pt idx="0">
                  <c:v>6.6416666666666657</c:v>
                </c:pt>
                <c:pt idx="1">
                  <c:v>7.3999999999999995</c:v>
                </c:pt>
                <c:pt idx="2">
                  <c:v>7.0083333333333329</c:v>
                </c:pt>
                <c:pt idx="3">
                  <c:v>7.35</c:v>
                </c:pt>
                <c:pt idx="4">
                  <c:v>6.25</c:v>
                </c:pt>
                <c:pt idx="5">
                  <c:v>8.7333333333333325</c:v>
                </c:pt>
                <c:pt idx="6">
                  <c:v>6.8083333333333336</c:v>
                </c:pt>
                <c:pt idx="7">
                  <c:v>6.5249999999999995</c:v>
                </c:pt>
                <c:pt idx="8">
                  <c:v>5.9833333333333334</c:v>
                </c:pt>
                <c:pt idx="9">
                  <c:v>6.5919444444444446</c:v>
                </c:pt>
                <c:pt idx="10">
                  <c:v>7.4752777777777784</c:v>
                </c:pt>
                <c:pt idx="11">
                  <c:v>7.6333333333333337</c:v>
                </c:pt>
                <c:pt idx="12">
                  <c:v>6.8416666666666668</c:v>
                </c:pt>
                <c:pt idx="13">
                  <c:v>6.6833333333333327</c:v>
                </c:pt>
                <c:pt idx="14">
                  <c:v>6.1583333333333341</c:v>
                </c:pt>
                <c:pt idx="15">
                  <c:v>7.666666666666667</c:v>
                </c:pt>
                <c:pt idx="16">
                  <c:v>7.1502777777777764</c:v>
                </c:pt>
                <c:pt idx="17">
                  <c:v>6.9002777777777791</c:v>
                </c:pt>
                <c:pt idx="18">
                  <c:v>9.033333333333335</c:v>
                </c:pt>
                <c:pt idx="19">
                  <c:v>5.9749999999999996</c:v>
                </c:pt>
                <c:pt idx="20">
                  <c:v>6.2916666666666661</c:v>
                </c:pt>
                <c:pt idx="21">
                  <c:v>5.450277777777778</c:v>
                </c:pt>
                <c:pt idx="22">
                  <c:v>6.9750000000000005</c:v>
                </c:pt>
                <c:pt idx="23">
                  <c:v>7.5416666666666679</c:v>
                </c:pt>
                <c:pt idx="24">
                  <c:v>6.9416666666666655</c:v>
                </c:pt>
                <c:pt idx="25">
                  <c:v>7.4252777777777776</c:v>
                </c:pt>
                <c:pt idx="26">
                  <c:v>8.0749999999999993</c:v>
                </c:pt>
                <c:pt idx="27">
                  <c:v>5.3749999999999991</c:v>
                </c:pt>
                <c:pt idx="28">
                  <c:v>7.6750000000000034</c:v>
                </c:pt>
                <c:pt idx="29">
                  <c:v>4.9249999999999998</c:v>
                </c:pt>
                <c:pt idx="30">
                  <c:v>6.283333333333335</c:v>
                </c:pt>
                <c:pt idx="31">
                  <c:v>7.5497222222222211</c:v>
                </c:pt>
                <c:pt idx="32">
                  <c:v>8.9750000000000014</c:v>
                </c:pt>
                <c:pt idx="33">
                  <c:v>7.7750000000000004</c:v>
                </c:pt>
                <c:pt idx="34">
                  <c:v>6.5750000000000011</c:v>
                </c:pt>
                <c:pt idx="35">
                  <c:v>6.1750000000000016</c:v>
                </c:pt>
                <c:pt idx="36">
                  <c:v>4.291666666666667</c:v>
                </c:pt>
                <c:pt idx="37">
                  <c:v>5.8666666666666671</c:v>
                </c:pt>
                <c:pt idx="38">
                  <c:v>8.7666666666666657</c:v>
                </c:pt>
                <c:pt idx="39">
                  <c:v>6.4499999999999993</c:v>
                </c:pt>
                <c:pt idx="40">
                  <c:v>8.9913888888888884</c:v>
                </c:pt>
                <c:pt idx="41">
                  <c:v>6.0249999999999995</c:v>
                </c:pt>
                <c:pt idx="42">
                  <c:v>7.1750000000000007</c:v>
                </c:pt>
                <c:pt idx="43">
                  <c:v>7.1169444444444432</c:v>
                </c:pt>
                <c:pt idx="44">
                  <c:v>7.5249999999999977</c:v>
                </c:pt>
                <c:pt idx="45">
                  <c:v>8.5499999999999989</c:v>
                </c:pt>
                <c:pt idx="46">
                  <c:v>7.5666666666666682</c:v>
                </c:pt>
                <c:pt idx="47">
                  <c:v>8.783333333333335</c:v>
                </c:pt>
                <c:pt idx="48">
                  <c:v>8.4666666666666668</c:v>
                </c:pt>
                <c:pt idx="49">
                  <c:v>7.5836111111111117</c:v>
                </c:pt>
                <c:pt idx="50">
                  <c:v>6.9919444444444441</c:v>
                </c:pt>
                <c:pt idx="51">
                  <c:v>7.0166666666666693</c:v>
                </c:pt>
                <c:pt idx="52">
                  <c:v>5.5583333333333318</c:v>
                </c:pt>
                <c:pt idx="53">
                  <c:v>7.9836111111111121</c:v>
                </c:pt>
                <c:pt idx="54">
                  <c:v>7.875</c:v>
                </c:pt>
                <c:pt idx="55">
                  <c:v>5.1999999999999993</c:v>
                </c:pt>
                <c:pt idx="56">
                  <c:v>6.0083333333333337</c:v>
                </c:pt>
                <c:pt idx="57">
                  <c:v>7.6666666666666652</c:v>
                </c:pt>
                <c:pt idx="58">
                  <c:v>5.4</c:v>
                </c:pt>
                <c:pt idx="59">
                  <c:v>8.5166666666666675</c:v>
                </c:pt>
                <c:pt idx="60">
                  <c:v>4.625</c:v>
                </c:pt>
                <c:pt idx="61">
                  <c:v>7.2250000000000005</c:v>
                </c:pt>
                <c:pt idx="62">
                  <c:v>6.333333333333333</c:v>
                </c:pt>
                <c:pt idx="63">
                  <c:v>6.3999999999999995</c:v>
                </c:pt>
                <c:pt idx="64">
                  <c:v>6.8502777777777766</c:v>
                </c:pt>
                <c:pt idx="65">
                  <c:v>5.6083333333333334</c:v>
                </c:pt>
                <c:pt idx="66">
                  <c:v>8.2000000000000011</c:v>
                </c:pt>
                <c:pt idx="67">
                  <c:v>6.8000000000000007</c:v>
                </c:pt>
                <c:pt idx="68">
                  <c:v>6.9416666666666682</c:v>
                </c:pt>
                <c:pt idx="69">
                  <c:v>5.3833333333333355</c:v>
                </c:pt>
                <c:pt idx="70">
                  <c:v>5.0083333333333329</c:v>
                </c:pt>
                <c:pt idx="71">
                  <c:v>5.6752777777777759</c:v>
                </c:pt>
                <c:pt idx="72">
                  <c:v>8.4333333333333336</c:v>
                </c:pt>
                <c:pt idx="73">
                  <c:v>6.3083333333333336</c:v>
                </c:pt>
                <c:pt idx="74">
                  <c:v>6.0000000000000018</c:v>
                </c:pt>
                <c:pt idx="75">
                  <c:v>7.5666666666666673</c:v>
                </c:pt>
                <c:pt idx="76">
                  <c:v>5.908333333333335</c:v>
                </c:pt>
                <c:pt idx="77">
                  <c:v>6.85</c:v>
                </c:pt>
                <c:pt idx="78">
                  <c:v>5.5666666666666673</c:v>
                </c:pt>
                <c:pt idx="79">
                  <c:v>6.116666666666668</c:v>
                </c:pt>
                <c:pt idx="80">
                  <c:v>8.3333333333333321</c:v>
                </c:pt>
                <c:pt idx="81">
                  <c:v>8.4083333333333314</c:v>
                </c:pt>
                <c:pt idx="82">
                  <c:v>8.3083333333333336</c:v>
                </c:pt>
                <c:pt idx="83">
                  <c:v>6.5</c:v>
                </c:pt>
                <c:pt idx="84">
                  <c:v>5.6083333333333325</c:v>
                </c:pt>
                <c:pt idx="85">
                  <c:v>7.508333333333332</c:v>
                </c:pt>
                <c:pt idx="86">
                  <c:v>6.85</c:v>
                </c:pt>
                <c:pt idx="87">
                  <c:v>5.8583333333333325</c:v>
                </c:pt>
                <c:pt idx="88">
                  <c:v>8.4580555555555534</c:v>
                </c:pt>
              </c:numCache>
            </c:numRef>
          </c:xVal>
          <c:yVal>
            <c:numRef>
              <c:f>'Clean Data'!$C$9:$C$97</c:f>
              <c:numCache>
                <c:formatCode>General</c:formatCode>
                <c:ptCount val="89"/>
                <c:pt idx="0">
                  <c:v>73.901172727272737</c:v>
                </c:pt>
                <c:pt idx="1">
                  <c:v>64.711524999999995</c:v>
                </c:pt>
                <c:pt idx="2">
                  <c:v>70.654533333333319</c:v>
                </c:pt>
                <c:pt idx="3">
                  <c:v>78.097227272727267</c:v>
                </c:pt>
                <c:pt idx="4">
                  <c:v>72.031700000000001</c:v>
                </c:pt>
                <c:pt idx="5">
                  <c:v>68.315309090909096</c:v>
                </c:pt>
                <c:pt idx="6">
                  <c:v>94.498118181818185</c:v>
                </c:pt>
                <c:pt idx="7">
                  <c:v>83.495699999999999</c:v>
                </c:pt>
                <c:pt idx="8">
                  <c:v>69.482890909090898</c:v>
                </c:pt>
                <c:pt idx="9">
                  <c:v>96.609569230769225</c:v>
                </c:pt>
                <c:pt idx="10">
                  <c:v>69.137316666666649</c:v>
                </c:pt>
                <c:pt idx="11">
                  <c:v>65.429836363636355</c:v>
                </c:pt>
                <c:pt idx="12">
                  <c:v>61.602518181818184</c:v>
                </c:pt>
                <c:pt idx="13">
                  <c:v>81.416933333333347</c:v>
                </c:pt>
                <c:pt idx="14">
                  <c:v>77.827449999999999</c:v>
                </c:pt>
                <c:pt idx="15">
                  <c:v>61.685558333333326</c:v>
                </c:pt>
                <c:pt idx="16">
                  <c:v>68.720424999999992</c:v>
                </c:pt>
                <c:pt idx="17">
                  <c:v>70.410539999999997</c:v>
                </c:pt>
                <c:pt idx="18">
                  <c:v>50.654299999999992</c:v>
                </c:pt>
                <c:pt idx="19">
                  <c:v>50.380363636363633</c:v>
                </c:pt>
                <c:pt idx="20">
                  <c:v>64.499646153846157</c:v>
                </c:pt>
                <c:pt idx="21">
                  <c:v>87.56329090909091</c:v>
                </c:pt>
                <c:pt idx="22">
                  <c:v>96.965454545454534</c:v>
                </c:pt>
                <c:pt idx="23">
                  <c:v>72.083475000000007</c:v>
                </c:pt>
                <c:pt idx="24">
                  <c:v>73.298333333333318</c:v>
                </c:pt>
                <c:pt idx="25">
                  <c:v>67.684866666666665</c:v>
                </c:pt>
                <c:pt idx="26">
                  <c:v>103.42479</c:v>
                </c:pt>
                <c:pt idx="27">
                  <c:v>84.879554545454553</c:v>
                </c:pt>
                <c:pt idx="28">
                  <c:v>92.785866666666664</c:v>
                </c:pt>
                <c:pt idx="29">
                  <c:v>96.985650000000007</c:v>
                </c:pt>
                <c:pt idx="30">
                  <c:v>71.277241666666669</c:v>
                </c:pt>
                <c:pt idx="31">
                  <c:v>74.092081818181811</c:v>
                </c:pt>
                <c:pt idx="32">
                  <c:v>79.098507692307692</c:v>
                </c:pt>
                <c:pt idx="33">
                  <c:v>50.49935</c:v>
                </c:pt>
                <c:pt idx="34">
                  <c:v>69.871127272727279</c:v>
                </c:pt>
                <c:pt idx="35">
                  <c:v>64.029058333333339</c:v>
                </c:pt>
                <c:pt idx="36">
                  <c:v>72.966563636363631</c:v>
                </c:pt>
                <c:pt idx="37">
                  <c:v>73.708809090909099</c:v>
                </c:pt>
                <c:pt idx="38">
                  <c:v>62.468809999999998</c:v>
                </c:pt>
                <c:pt idx="39">
                  <c:v>62.599324999999993</c:v>
                </c:pt>
                <c:pt idx="40">
                  <c:v>77.985836363636366</c:v>
                </c:pt>
                <c:pt idx="41">
                  <c:v>68.916458333333338</c:v>
                </c:pt>
                <c:pt idx="42">
                  <c:v>52.173472727272724</c:v>
                </c:pt>
                <c:pt idx="43">
                  <c:v>68.873099999999994</c:v>
                </c:pt>
                <c:pt idx="44">
                  <c:v>78.95464166666666</c:v>
                </c:pt>
                <c:pt idx="45">
                  <c:v>68.273316666666659</c:v>
                </c:pt>
                <c:pt idx="46">
                  <c:v>54.415433333333333</c:v>
                </c:pt>
                <c:pt idx="47">
                  <c:v>71.970366666666663</c:v>
                </c:pt>
                <c:pt idx="48">
                  <c:v>70.869108333333344</c:v>
                </c:pt>
                <c:pt idx="49">
                  <c:v>58.407274999999998</c:v>
                </c:pt>
                <c:pt idx="50">
                  <c:v>72.373908333333347</c:v>
                </c:pt>
                <c:pt idx="51">
                  <c:v>68.029190909090914</c:v>
                </c:pt>
                <c:pt idx="52">
                  <c:v>65.426241666666655</c:v>
                </c:pt>
                <c:pt idx="53">
                  <c:v>62.779170000000001</c:v>
                </c:pt>
                <c:pt idx="54">
                  <c:v>62.737641666666669</c:v>
                </c:pt>
                <c:pt idx="55">
                  <c:v>76.482633333333325</c:v>
                </c:pt>
                <c:pt idx="56">
                  <c:v>61.646727272727269</c:v>
                </c:pt>
                <c:pt idx="57">
                  <c:v>64.917736363636379</c:v>
                </c:pt>
                <c:pt idx="58">
                  <c:v>75.70317272727273</c:v>
                </c:pt>
                <c:pt idx="59">
                  <c:v>78.072300000000013</c:v>
                </c:pt>
                <c:pt idx="60">
                  <c:v>76.955216666666658</c:v>
                </c:pt>
                <c:pt idx="61">
                  <c:v>68.429883333333322</c:v>
                </c:pt>
                <c:pt idx="62">
                  <c:v>61.792766666666665</c:v>
                </c:pt>
                <c:pt idx="63">
                  <c:v>75.586763636363628</c:v>
                </c:pt>
                <c:pt idx="64">
                  <c:v>79.875475000000009</c:v>
                </c:pt>
                <c:pt idx="65">
                  <c:v>78.914150000000006</c:v>
                </c:pt>
                <c:pt idx="66">
                  <c:v>65.712236363636364</c:v>
                </c:pt>
                <c:pt idx="67">
                  <c:v>53.106618181818178</c:v>
                </c:pt>
                <c:pt idx="68">
                  <c:v>65.183341666666664</c:v>
                </c:pt>
                <c:pt idx="69">
                  <c:v>57.768670000000007</c:v>
                </c:pt>
                <c:pt idx="70">
                  <c:v>74.23084999999999</c:v>
                </c:pt>
                <c:pt idx="71">
                  <c:v>74.974427272727269</c:v>
                </c:pt>
                <c:pt idx="72">
                  <c:v>73.405290909090908</c:v>
                </c:pt>
                <c:pt idx="73">
                  <c:v>62.045541666666672</c:v>
                </c:pt>
                <c:pt idx="74">
                  <c:v>61.014841666666662</c:v>
                </c:pt>
                <c:pt idx="75">
                  <c:v>66.536183333333327</c:v>
                </c:pt>
                <c:pt idx="76">
                  <c:v>62.849408333333336</c:v>
                </c:pt>
                <c:pt idx="77">
                  <c:v>117.65377500000001</c:v>
                </c:pt>
                <c:pt idx="78">
                  <c:v>100.11380909090909</c:v>
                </c:pt>
                <c:pt idx="79">
                  <c:v>115.24366363636362</c:v>
                </c:pt>
                <c:pt idx="80">
                  <c:v>67.481018181818172</c:v>
                </c:pt>
                <c:pt idx="81">
                  <c:v>63.998791666666669</c:v>
                </c:pt>
                <c:pt idx="82">
                  <c:v>77.247018181818191</c:v>
                </c:pt>
                <c:pt idx="83">
                  <c:v>88.76818333333334</c:v>
                </c:pt>
                <c:pt idx="84">
                  <c:v>89.297783333333328</c:v>
                </c:pt>
                <c:pt idx="85">
                  <c:v>89.116945454545444</c:v>
                </c:pt>
                <c:pt idx="86">
                  <c:v>119.08828181818181</c:v>
                </c:pt>
                <c:pt idx="87">
                  <c:v>82.857399999999998</c:v>
                </c:pt>
                <c:pt idx="88">
                  <c:v>61.028525000000002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CB-4D2C-B671-43E6F7E7E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05552"/>
        <c:axId val="302508432"/>
      </c:scatterChart>
      <c:valAx>
        <c:axId val="302505552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Sleep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08432"/>
        <c:crosses val="autoZero"/>
        <c:crossBetween val="midCat"/>
      </c:valAx>
      <c:valAx>
        <c:axId val="302508432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HRV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0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Rate Variability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Data'!$C$1</c:f>
              <c:strCache>
                <c:ptCount val="1"/>
                <c:pt idx="0">
                  <c:v>HRV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'Clean Data'!$B$8:$B$97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xVal>
          <c:yVal>
            <c:numRef>
              <c:f>'Clean Data'!$C$8:$C$97</c:f>
              <c:numCache>
                <c:formatCode>General</c:formatCode>
                <c:ptCount val="90"/>
                <c:pt idx="0">
                  <c:v>54.664227272727267</c:v>
                </c:pt>
                <c:pt idx="1">
                  <c:v>73.901172727272737</c:v>
                </c:pt>
                <c:pt idx="2">
                  <c:v>64.711524999999995</c:v>
                </c:pt>
                <c:pt idx="3">
                  <c:v>70.654533333333319</c:v>
                </c:pt>
                <c:pt idx="4">
                  <c:v>78.097227272727267</c:v>
                </c:pt>
                <c:pt idx="5">
                  <c:v>72.031700000000001</c:v>
                </c:pt>
                <c:pt idx="6">
                  <c:v>68.315309090909096</c:v>
                </c:pt>
                <c:pt idx="7">
                  <c:v>94.498118181818185</c:v>
                </c:pt>
                <c:pt idx="8">
                  <c:v>83.495699999999999</c:v>
                </c:pt>
                <c:pt idx="9">
                  <c:v>69.482890909090898</c:v>
                </c:pt>
                <c:pt idx="10">
                  <c:v>96.609569230769225</c:v>
                </c:pt>
                <c:pt idx="11">
                  <c:v>69.137316666666649</c:v>
                </c:pt>
                <c:pt idx="12">
                  <c:v>65.429836363636355</c:v>
                </c:pt>
                <c:pt idx="13">
                  <c:v>61.602518181818184</c:v>
                </c:pt>
                <c:pt idx="14">
                  <c:v>81.416933333333347</c:v>
                </c:pt>
                <c:pt idx="15">
                  <c:v>77.827449999999999</c:v>
                </c:pt>
                <c:pt idx="16">
                  <c:v>61.685558333333326</c:v>
                </c:pt>
                <c:pt idx="17">
                  <c:v>68.720424999999992</c:v>
                </c:pt>
                <c:pt idx="18">
                  <c:v>70.410539999999997</c:v>
                </c:pt>
                <c:pt idx="19">
                  <c:v>50.654299999999992</c:v>
                </c:pt>
                <c:pt idx="20">
                  <c:v>50.380363636363633</c:v>
                </c:pt>
                <c:pt idx="21">
                  <c:v>64.499646153846157</c:v>
                </c:pt>
                <c:pt idx="22">
                  <c:v>87.56329090909091</c:v>
                </c:pt>
                <c:pt idx="23">
                  <c:v>96.965454545454534</c:v>
                </c:pt>
                <c:pt idx="24">
                  <c:v>72.083475000000007</c:v>
                </c:pt>
                <c:pt idx="25">
                  <c:v>73.298333333333318</c:v>
                </c:pt>
                <c:pt idx="26">
                  <c:v>67.684866666666665</c:v>
                </c:pt>
                <c:pt idx="27">
                  <c:v>103.42479</c:v>
                </c:pt>
                <c:pt idx="28">
                  <c:v>84.879554545454553</c:v>
                </c:pt>
                <c:pt idx="29">
                  <c:v>92.785866666666664</c:v>
                </c:pt>
                <c:pt idx="30">
                  <c:v>96.985650000000007</c:v>
                </c:pt>
                <c:pt idx="31">
                  <c:v>71.277241666666669</c:v>
                </c:pt>
                <c:pt idx="32">
                  <c:v>74.092081818181811</c:v>
                </c:pt>
                <c:pt idx="33">
                  <c:v>79.098507692307692</c:v>
                </c:pt>
                <c:pt idx="34">
                  <c:v>50.49935</c:v>
                </c:pt>
                <c:pt idx="35">
                  <c:v>69.871127272727279</c:v>
                </c:pt>
                <c:pt idx="36">
                  <c:v>64.029058333333339</c:v>
                </c:pt>
                <c:pt idx="37">
                  <c:v>72.966563636363631</c:v>
                </c:pt>
                <c:pt idx="38">
                  <c:v>73.708809090909099</c:v>
                </c:pt>
                <c:pt idx="39">
                  <c:v>62.468809999999998</c:v>
                </c:pt>
                <c:pt idx="40">
                  <c:v>62.599324999999993</c:v>
                </c:pt>
                <c:pt idx="41">
                  <c:v>77.985836363636366</c:v>
                </c:pt>
                <c:pt idx="42">
                  <c:v>68.916458333333338</c:v>
                </c:pt>
                <c:pt idx="43">
                  <c:v>52.173472727272724</c:v>
                </c:pt>
                <c:pt idx="44">
                  <c:v>68.873099999999994</c:v>
                </c:pt>
                <c:pt idx="45">
                  <c:v>78.95464166666666</c:v>
                </c:pt>
                <c:pt idx="46">
                  <c:v>68.273316666666659</c:v>
                </c:pt>
                <c:pt idx="47">
                  <c:v>54.415433333333333</c:v>
                </c:pt>
                <c:pt idx="48">
                  <c:v>71.970366666666663</c:v>
                </c:pt>
                <c:pt idx="49">
                  <c:v>70.869108333333344</c:v>
                </c:pt>
                <c:pt idx="50">
                  <c:v>58.407274999999998</c:v>
                </c:pt>
                <c:pt idx="51">
                  <c:v>72.373908333333347</c:v>
                </c:pt>
                <c:pt idx="52">
                  <c:v>68.029190909090914</c:v>
                </c:pt>
                <c:pt idx="53">
                  <c:v>65.426241666666655</c:v>
                </c:pt>
                <c:pt idx="54">
                  <c:v>62.779170000000001</c:v>
                </c:pt>
                <c:pt idx="55">
                  <c:v>62.737641666666669</c:v>
                </c:pt>
                <c:pt idx="56">
                  <c:v>76.482633333333325</c:v>
                </c:pt>
                <c:pt idx="57">
                  <c:v>61.646727272727269</c:v>
                </c:pt>
                <c:pt idx="58">
                  <c:v>64.917736363636379</c:v>
                </c:pt>
                <c:pt idx="59">
                  <c:v>75.70317272727273</c:v>
                </c:pt>
                <c:pt idx="60">
                  <c:v>78.072300000000013</c:v>
                </c:pt>
                <c:pt idx="61">
                  <c:v>76.955216666666658</c:v>
                </c:pt>
                <c:pt idx="62">
                  <c:v>68.429883333333322</c:v>
                </c:pt>
                <c:pt idx="63">
                  <c:v>61.792766666666665</c:v>
                </c:pt>
                <c:pt idx="64">
                  <c:v>75.586763636363628</c:v>
                </c:pt>
                <c:pt idx="65">
                  <c:v>79.875475000000009</c:v>
                </c:pt>
                <c:pt idx="66">
                  <c:v>78.914150000000006</c:v>
                </c:pt>
                <c:pt idx="67">
                  <c:v>65.712236363636364</c:v>
                </c:pt>
                <c:pt idx="68">
                  <c:v>53.106618181818178</c:v>
                </c:pt>
                <c:pt idx="69">
                  <c:v>65.183341666666664</c:v>
                </c:pt>
                <c:pt idx="70">
                  <c:v>57.768670000000007</c:v>
                </c:pt>
                <c:pt idx="71">
                  <c:v>74.23084999999999</c:v>
                </c:pt>
                <c:pt idx="72">
                  <c:v>74.974427272727269</c:v>
                </c:pt>
                <c:pt idx="73">
                  <c:v>73.405290909090908</c:v>
                </c:pt>
                <c:pt idx="74">
                  <c:v>62.045541666666672</c:v>
                </c:pt>
                <c:pt idx="75">
                  <c:v>61.014841666666662</c:v>
                </c:pt>
                <c:pt idx="76">
                  <c:v>66.536183333333327</c:v>
                </c:pt>
                <c:pt idx="77">
                  <c:v>62.849408333333336</c:v>
                </c:pt>
                <c:pt idx="78">
                  <c:v>117.65377500000001</c:v>
                </c:pt>
                <c:pt idx="79">
                  <c:v>100.11380909090909</c:v>
                </c:pt>
                <c:pt idx="80">
                  <c:v>115.24366363636362</c:v>
                </c:pt>
                <c:pt idx="81">
                  <c:v>67.481018181818172</c:v>
                </c:pt>
                <c:pt idx="82">
                  <c:v>63.998791666666669</c:v>
                </c:pt>
                <c:pt idx="83">
                  <c:v>77.247018181818191</c:v>
                </c:pt>
                <c:pt idx="84">
                  <c:v>88.76818333333334</c:v>
                </c:pt>
                <c:pt idx="85">
                  <c:v>89.297783333333328</c:v>
                </c:pt>
                <c:pt idx="86">
                  <c:v>89.116945454545444</c:v>
                </c:pt>
                <c:pt idx="87">
                  <c:v>119.08828181818181</c:v>
                </c:pt>
                <c:pt idx="88">
                  <c:v>82.857399999999998</c:v>
                </c:pt>
                <c:pt idx="89">
                  <c:v>61.028525000000002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25-405C-98F7-E5DCA580B6FE}"/>
            </c:ext>
          </c:extLst>
        </c:ser>
        <c:ser>
          <c:idx val="1"/>
          <c:order val="1"/>
          <c:tx>
            <c:strRef>
              <c:f>'Clean Data'!$M$8</c:f>
              <c:strCache>
                <c:ptCount val="1"/>
                <c:pt idx="0">
                  <c:v>Start Fast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225-405C-98F7-E5DCA580B6FE}"/>
              </c:ext>
            </c:extLst>
          </c:dPt>
          <c:xVal>
            <c:numRef>
              <c:f>'Clean Data'!$N$8:$N$9</c:f>
              <c:numCache>
                <c:formatCode>General</c:formatCode>
                <c:ptCount val="2"/>
                <c:pt idx="0">
                  <c:v>31</c:v>
                </c:pt>
                <c:pt idx="1">
                  <c:v>31</c:v>
                </c:pt>
              </c:numCache>
            </c:numRef>
          </c:xVal>
          <c:yVal>
            <c:numRef>
              <c:f>'Clean Data'!$O$8:$O$9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225-405C-98F7-E5DCA580B6FE}"/>
            </c:ext>
          </c:extLst>
        </c:ser>
        <c:ser>
          <c:idx val="2"/>
          <c:order val="2"/>
          <c:tx>
            <c:strRef>
              <c:f>'Clean Data'!$M$10</c:f>
              <c:strCache>
                <c:ptCount val="1"/>
                <c:pt idx="0">
                  <c:v>End Fast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'Clean Data'!$N$10:$N$11</c:f>
              <c:numCache>
                <c:formatCode>General</c:formatCode>
                <c:ptCount val="2"/>
                <c:pt idx="0">
                  <c:v>61</c:v>
                </c:pt>
                <c:pt idx="1">
                  <c:v>61</c:v>
                </c:pt>
              </c:numCache>
            </c:numRef>
          </c:xVal>
          <c:yVal>
            <c:numRef>
              <c:f>'Clean Data'!$O$10:$O$11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225-405C-98F7-E5DCA580B6FE}"/>
            </c:ext>
          </c:extLst>
        </c:ser>
        <c:ser>
          <c:idx val="3"/>
          <c:order val="3"/>
          <c:tx>
            <c:strRef>
              <c:f>'Clean Data'!$H$1</c:f>
              <c:strCache>
                <c:ptCount val="1"/>
                <c:pt idx="0">
                  <c:v>Phase Avg HRV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0"/>
              <c:layout>
                <c:manualLayout>
                  <c:x val="-7.5505617977528083E-2"/>
                  <c:y val="-9.7222222222222265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225-405C-98F7-E5DCA580B6FE}"/>
                </c:ext>
              </c:extLst>
            </c:dLbl>
            <c:dLbl>
              <c:idx val="44"/>
              <c:layout>
                <c:manualLayout>
                  <c:x val="-6.651685393258433E-2"/>
                  <c:y val="-0.1388888888888889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25-405C-98F7-E5DCA580B6FE}"/>
                </c:ext>
              </c:extLst>
            </c:dLbl>
            <c:dLbl>
              <c:idx val="69"/>
              <c:layout>
                <c:manualLayout>
                  <c:x val="-3.7752808988764174E-2"/>
                  <c:y val="-7.4074074074074112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25-405C-98F7-E5DCA580B6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'Clean Data'!$B$8:$B$97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xVal>
          <c:yVal>
            <c:numRef>
              <c:f>'Clean Data'!$H$8:$H$97</c:f>
              <c:numCache>
                <c:formatCode>General</c:formatCode>
                <c:ptCount val="90"/>
                <c:pt idx="0">
                  <c:v>74.23041641181041</c:v>
                </c:pt>
                <c:pt idx="1">
                  <c:v>74.23041641181041</c:v>
                </c:pt>
                <c:pt idx="2">
                  <c:v>74.23041641181041</c:v>
                </c:pt>
                <c:pt idx="3">
                  <c:v>74.23041641181041</c:v>
                </c:pt>
                <c:pt idx="4">
                  <c:v>74.23041641181041</c:v>
                </c:pt>
                <c:pt idx="5">
                  <c:v>74.23041641181041</c:v>
                </c:pt>
                <c:pt idx="6">
                  <c:v>74.23041641181041</c:v>
                </c:pt>
                <c:pt idx="7">
                  <c:v>74.23041641181041</c:v>
                </c:pt>
                <c:pt idx="8">
                  <c:v>74.23041641181041</c:v>
                </c:pt>
                <c:pt idx="9">
                  <c:v>74.23041641181041</c:v>
                </c:pt>
                <c:pt idx="10">
                  <c:v>74.23041641181041</c:v>
                </c:pt>
                <c:pt idx="11">
                  <c:v>74.23041641181041</c:v>
                </c:pt>
                <c:pt idx="12">
                  <c:v>74.23041641181041</c:v>
                </c:pt>
                <c:pt idx="13">
                  <c:v>74.23041641181041</c:v>
                </c:pt>
                <c:pt idx="14">
                  <c:v>74.23041641181041</c:v>
                </c:pt>
                <c:pt idx="15">
                  <c:v>74.23041641181041</c:v>
                </c:pt>
                <c:pt idx="16">
                  <c:v>74.23041641181041</c:v>
                </c:pt>
                <c:pt idx="17">
                  <c:v>74.23041641181041</c:v>
                </c:pt>
                <c:pt idx="18">
                  <c:v>74.23041641181041</c:v>
                </c:pt>
                <c:pt idx="19">
                  <c:v>74.23041641181041</c:v>
                </c:pt>
                <c:pt idx="20">
                  <c:v>74.23041641181041</c:v>
                </c:pt>
                <c:pt idx="21">
                  <c:v>74.23041641181041</c:v>
                </c:pt>
                <c:pt idx="22">
                  <c:v>74.23041641181041</c:v>
                </c:pt>
                <c:pt idx="23">
                  <c:v>74.23041641181041</c:v>
                </c:pt>
                <c:pt idx="24">
                  <c:v>74.23041641181041</c:v>
                </c:pt>
                <c:pt idx="25">
                  <c:v>74.23041641181041</c:v>
                </c:pt>
                <c:pt idx="26">
                  <c:v>74.23041641181041</c:v>
                </c:pt>
                <c:pt idx="27">
                  <c:v>74.23041641181041</c:v>
                </c:pt>
                <c:pt idx="28">
                  <c:v>74.23041641181041</c:v>
                </c:pt>
                <c:pt idx="29">
                  <c:v>74.23041641181041</c:v>
                </c:pt>
                <c:pt idx="30">
                  <c:v>68.617731862470862</c:v>
                </c:pt>
                <c:pt idx="31">
                  <c:v>68.617731862470862</c:v>
                </c:pt>
                <c:pt idx="32">
                  <c:v>68.617731862470862</c:v>
                </c:pt>
                <c:pt idx="33">
                  <c:v>68.617731862470862</c:v>
                </c:pt>
                <c:pt idx="34">
                  <c:v>68.617731862470862</c:v>
                </c:pt>
                <c:pt idx="35">
                  <c:v>68.617731862470862</c:v>
                </c:pt>
                <c:pt idx="36">
                  <c:v>68.617731862470862</c:v>
                </c:pt>
                <c:pt idx="37">
                  <c:v>68.617731862470862</c:v>
                </c:pt>
                <c:pt idx="38">
                  <c:v>68.617731862470862</c:v>
                </c:pt>
                <c:pt idx="39">
                  <c:v>68.617731862470862</c:v>
                </c:pt>
                <c:pt idx="40">
                  <c:v>68.617731862470862</c:v>
                </c:pt>
                <c:pt idx="41">
                  <c:v>68.617731862470862</c:v>
                </c:pt>
                <c:pt idx="42">
                  <c:v>68.617731862470862</c:v>
                </c:pt>
                <c:pt idx="43">
                  <c:v>68.617731862470862</c:v>
                </c:pt>
                <c:pt idx="44">
                  <c:v>68.617731862470862</c:v>
                </c:pt>
                <c:pt idx="45">
                  <c:v>68.617731862470862</c:v>
                </c:pt>
                <c:pt idx="46">
                  <c:v>68.617731862470862</c:v>
                </c:pt>
                <c:pt idx="47">
                  <c:v>68.617731862470862</c:v>
                </c:pt>
                <c:pt idx="48">
                  <c:v>68.617731862470862</c:v>
                </c:pt>
                <c:pt idx="49">
                  <c:v>68.617731862470862</c:v>
                </c:pt>
                <c:pt idx="50">
                  <c:v>68.617731862470862</c:v>
                </c:pt>
                <c:pt idx="51">
                  <c:v>68.617731862470862</c:v>
                </c:pt>
                <c:pt idx="52">
                  <c:v>68.617731862470862</c:v>
                </c:pt>
                <c:pt idx="53">
                  <c:v>68.617731862470862</c:v>
                </c:pt>
                <c:pt idx="54">
                  <c:v>68.617731862470862</c:v>
                </c:pt>
                <c:pt idx="55">
                  <c:v>68.617731862470862</c:v>
                </c:pt>
                <c:pt idx="56">
                  <c:v>68.617731862470862</c:v>
                </c:pt>
                <c:pt idx="57">
                  <c:v>68.617731862470862</c:v>
                </c:pt>
                <c:pt idx="58">
                  <c:v>68.617731862470862</c:v>
                </c:pt>
                <c:pt idx="59">
                  <c:v>68.617731862470862</c:v>
                </c:pt>
                <c:pt idx="60">
                  <c:v>76.944971979797998</c:v>
                </c:pt>
                <c:pt idx="61">
                  <c:v>76.944971979797998</c:v>
                </c:pt>
                <c:pt idx="62">
                  <c:v>76.944971979797998</c:v>
                </c:pt>
                <c:pt idx="63">
                  <c:v>76.944971979797998</c:v>
                </c:pt>
                <c:pt idx="64">
                  <c:v>76.944971979797998</c:v>
                </c:pt>
                <c:pt idx="65">
                  <c:v>76.944971979797998</c:v>
                </c:pt>
                <c:pt idx="66">
                  <c:v>76.944971979797998</c:v>
                </c:pt>
                <c:pt idx="67">
                  <c:v>76.944971979797998</c:v>
                </c:pt>
                <c:pt idx="68">
                  <c:v>76.944971979797998</c:v>
                </c:pt>
                <c:pt idx="69">
                  <c:v>76.944971979797998</c:v>
                </c:pt>
                <c:pt idx="70">
                  <c:v>76.944971979797998</c:v>
                </c:pt>
                <c:pt idx="71">
                  <c:v>76.944971979797998</c:v>
                </c:pt>
                <c:pt idx="72">
                  <c:v>76.944971979797998</c:v>
                </c:pt>
                <c:pt idx="73">
                  <c:v>76.944971979797998</c:v>
                </c:pt>
                <c:pt idx="74">
                  <c:v>76.944971979797998</c:v>
                </c:pt>
                <c:pt idx="75">
                  <c:v>76.944971979797998</c:v>
                </c:pt>
                <c:pt idx="76">
                  <c:v>76.944971979797998</c:v>
                </c:pt>
                <c:pt idx="77">
                  <c:v>76.944971979797998</c:v>
                </c:pt>
                <c:pt idx="78">
                  <c:v>76.944971979797998</c:v>
                </c:pt>
                <c:pt idx="79">
                  <c:v>76.944971979797998</c:v>
                </c:pt>
                <c:pt idx="80">
                  <c:v>76.944971979797998</c:v>
                </c:pt>
                <c:pt idx="81">
                  <c:v>76.944971979797998</c:v>
                </c:pt>
                <c:pt idx="82">
                  <c:v>76.944971979797998</c:v>
                </c:pt>
                <c:pt idx="83">
                  <c:v>76.944971979797998</c:v>
                </c:pt>
                <c:pt idx="84">
                  <c:v>76.944971979797998</c:v>
                </c:pt>
                <c:pt idx="85">
                  <c:v>76.944971979797998</c:v>
                </c:pt>
                <c:pt idx="86">
                  <c:v>76.944971979797998</c:v>
                </c:pt>
                <c:pt idx="87">
                  <c:v>76.944971979797998</c:v>
                </c:pt>
                <c:pt idx="88">
                  <c:v>76.944971979797998</c:v>
                </c:pt>
                <c:pt idx="89">
                  <c:v>76.944971979797998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225-405C-98F7-E5DCA580B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305696"/>
        <c:axId val="934306176"/>
      </c:scatterChart>
      <c:valAx>
        <c:axId val="934305696"/>
        <c:scaling>
          <c:orientation val="minMax"/>
          <c:max val="9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Study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06176"/>
        <c:crosses val="autoZero"/>
        <c:crossBetween val="midCat"/>
      </c:valAx>
      <c:valAx>
        <c:axId val="934306176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HRV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0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Resting Heart Rate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Data'!$E$1</c:f>
              <c:strCache>
                <c:ptCount val="1"/>
                <c:pt idx="0">
                  <c:v>RHR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'Clean Data'!$B$8:$B$97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xVal>
          <c:yVal>
            <c:numRef>
              <c:f>'Clean Data'!$E$8:$E$97</c:f>
              <c:numCache>
                <c:formatCode>General</c:formatCode>
                <c:ptCount val="90"/>
                <c:pt idx="0">
                  <c:v>69</c:v>
                </c:pt>
                <c:pt idx="1">
                  <c:v>65</c:v>
                </c:pt>
                <c:pt idx="2">
                  <c:v>59</c:v>
                </c:pt>
                <c:pt idx="3">
                  <c:v>61</c:v>
                </c:pt>
                <c:pt idx="4">
                  <c:v>65</c:v>
                </c:pt>
                <c:pt idx="5">
                  <c:v>65</c:v>
                </c:pt>
                <c:pt idx="6">
                  <c:v>62</c:v>
                </c:pt>
                <c:pt idx="7">
                  <c:v>64</c:v>
                </c:pt>
                <c:pt idx="8">
                  <c:v>63</c:v>
                </c:pt>
                <c:pt idx="9">
                  <c:v>66</c:v>
                </c:pt>
                <c:pt idx="10">
                  <c:v>60</c:v>
                </c:pt>
                <c:pt idx="11">
                  <c:v>64</c:v>
                </c:pt>
                <c:pt idx="12">
                  <c:v>61</c:v>
                </c:pt>
                <c:pt idx="13">
                  <c:v>65</c:v>
                </c:pt>
                <c:pt idx="14">
                  <c:v>62</c:v>
                </c:pt>
                <c:pt idx="15">
                  <c:v>59</c:v>
                </c:pt>
                <c:pt idx="16">
                  <c:v>60</c:v>
                </c:pt>
                <c:pt idx="17">
                  <c:v>59</c:v>
                </c:pt>
                <c:pt idx="18">
                  <c:v>63</c:v>
                </c:pt>
                <c:pt idx="19">
                  <c:v>65</c:v>
                </c:pt>
                <c:pt idx="20">
                  <c:v>63</c:v>
                </c:pt>
                <c:pt idx="21">
                  <c:v>64</c:v>
                </c:pt>
                <c:pt idx="22">
                  <c:v>63</c:v>
                </c:pt>
                <c:pt idx="23">
                  <c:v>66</c:v>
                </c:pt>
                <c:pt idx="24">
                  <c:v>63</c:v>
                </c:pt>
                <c:pt idx="25">
                  <c:v>61</c:v>
                </c:pt>
                <c:pt idx="26">
                  <c:v>65</c:v>
                </c:pt>
                <c:pt idx="27">
                  <c:v>64</c:v>
                </c:pt>
                <c:pt idx="28">
                  <c:v>67</c:v>
                </c:pt>
                <c:pt idx="29">
                  <c:v>65</c:v>
                </c:pt>
                <c:pt idx="30">
                  <c:v>56</c:v>
                </c:pt>
                <c:pt idx="31">
                  <c:v>59</c:v>
                </c:pt>
                <c:pt idx="32">
                  <c:v>57</c:v>
                </c:pt>
                <c:pt idx="33">
                  <c:v>55</c:v>
                </c:pt>
                <c:pt idx="34">
                  <c:v>58</c:v>
                </c:pt>
                <c:pt idx="35">
                  <c:v>54</c:v>
                </c:pt>
                <c:pt idx="36">
                  <c:v>56</c:v>
                </c:pt>
                <c:pt idx="37">
                  <c:v>55</c:v>
                </c:pt>
                <c:pt idx="38">
                  <c:v>58</c:v>
                </c:pt>
                <c:pt idx="39">
                  <c:v>64</c:v>
                </c:pt>
                <c:pt idx="40">
                  <c:v>56</c:v>
                </c:pt>
                <c:pt idx="41">
                  <c:v>55</c:v>
                </c:pt>
                <c:pt idx="42">
                  <c:v>54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66</c:v>
                </c:pt>
                <c:pt idx="47">
                  <c:v>64</c:v>
                </c:pt>
                <c:pt idx="48">
                  <c:v>52</c:v>
                </c:pt>
                <c:pt idx="49">
                  <c:v>52</c:v>
                </c:pt>
                <c:pt idx="50">
                  <c:v>53</c:v>
                </c:pt>
                <c:pt idx="51">
                  <c:v>63</c:v>
                </c:pt>
                <c:pt idx="52">
                  <c:v>58</c:v>
                </c:pt>
                <c:pt idx="53">
                  <c:v>57</c:v>
                </c:pt>
                <c:pt idx="54">
                  <c:v>58</c:v>
                </c:pt>
                <c:pt idx="55">
                  <c:v>55</c:v>
                </c:pt>
                <c:pt idx="56">
                  <c:v>59</c:v>
                </c:pt>
                <c:pt idx="57">
                  <c:v>67</c:v>
                </c:pt>
                <c:pt idx="58">
                  <c:v>62</c:v>
                </c:pt>
                <c:pt idx="59">
                  <c:v>65</c:v>
                </c:pt>
                <c:pt idx="60">
                  <c:v>63</c:v>
                </c:pt>
                <c:pt idx="61">
                  <c:v>60</c:v>
                </c:pt>
                <c:pt idx="62">
                  <c:v>58</c:v>
                </c:pt>
                <c:pt idx="63">
                  <c:v>67</c:v>
                </c:pt>
                <c:pt idx="64">
                  <c:v>65</c:v>
                </c:pt>
                <c:pt idx="65">
                  <c:v>65</c:v>
                </c:pt>
                <c:pt idx="66">
                  <c:v>63</c:v>
                </c:pt>
                <c:pt idx="67">
                  <c:v>66</c:v>
                </c:pt>
                <c:pt idx="68">
                  <c:v>60</c:v>
                </c:pt>
                <c:pt idx="69">
                  <c:v>62</c:v>
                </c:pt>
                <c:pt idx="70">
                  <c:v>61</c:v>
                </c:pt>
                <c:pt idx="71">
                  <c:v>63</c:v>
                </c:pt>
                <c:pt idx="72">
                  <c:v>66</c:v>
                </c:pt>
                <c:pt idx="73">
                  <c:v>61</c:v>
                </c:pt>
                <c:pt idx="74">
                  <c:v>63</c:v>
                </c:pt>
                <c:pt idx="75">
                  <c:v>59</c:v>
                </c:pt>
                <c:pt idx="76">
                  <c:v>64</c:v>
                </c:pt>
                <c:pt idx="77">
                  <c:v>59</c:v>
                </c:pt>
                <c:pt idx="78">
                  <c:v>59</c:v>
                </c:pt>
                <c:pt idx="79">
                  <c:v>58</c:v>
                </c:pt>
                <c:pt idx="80">
                  <c:v>55</c:v>
                </c:pt>
                <c:pt idx="81">
                  <c:v>65</c:v>
                </c:pt>
                <c:pt idx="82">
                  <c:v>65</c:v>
                </c:pt>
                <c:pt idx="83">
                  <c:v>61</c:v>
                </c:pt>
                <c:pt idx="84">
                  <c:v>64</c:v>
                </c:pt>
                <c:pt idx="85">
                  <c:v>60</c:v>
                </c:pt>
                <c:pt idx="86">
                  <c:v>63</c:v>
                </c:pt>
                <c:pt idx="87">
                  <c:v>59</c:v>
                </c:pt>
                <c:pt idx="88">
                  <c:v>59</c:v>
                </c:pt>
                <c:pt idx="89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F6-4449-9105-506FF939DC6E}"/>
            </c:ext>
          </c:extLst>
        </c:ser>
        <c:ser>
          <c:idx val="1"/>
          <c:order val="1"/>
          <c:tx>
            <c:strRef>
              <c:f>'Clean Data'!$M$14</c:f>
              <c:strCache>
                <c:ptCount val="1"/>
                <c:pt idx="0">
                  <c:v>Start Fast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'Clean Data'!$N$14:$N$15</c:f>
              <c:numCache>
                <c:formatCode>General</c:formatCode>
                <c:ptCount val="2"/>
                <c:pt idx="0">
                  <c:v>31</c:v>
                </c:pt>
                <c:pt idx="1">
                  <c:v>31</c:v>
                </c:pt>
              </c:numCache>
            </c:numRef>
          </c:xVal>
          <c:yVal>
            <c:numRef>
              <c:f>'Clean Data'!$O$14:$O$15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F6-4449-9105-506FF939DC6E}"/>
            </c:ext>
          </c:extLst>
        </c:ser>
        <c:ser>
          <c:idx val="2"/>
          <c:order val="2"/>
          <c:tx>
            <c:strRef>
              <c:f>'Clean Data'!$M$16</c:f>
              <c:strCache>
                <c:ptCount val="1"/>
                <c:pt idx="0">
                  <c:v>End Fast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'Clean Data'!$N$16:$N$17</c:f>
              <c:numCache>
                <c:formatCode>General</c:formatCode>
                <c:ptCount val="2"/>
                <c:pt idx="0">
                  <c:v>61</c:v>
                </c:pt>
                <c:pt idx="1">
                  <c:v>61</c:v>
                </c:pt>
              </c:numCache>
            </c:numRef>
          </c:xVal>
          <c:yVal>
            <c:numRef>
              <c:f>'Clean Data'!$O$16:$O$17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F6-4449-9105-506FF939DC6E}"/>
            </c:ext>
          </c:extLst>
        </c:ser>
        <c:ser>
          <c:idx val="3"/>
          <c:order val="3"/>
          <c:tx>
            <c:strRef>
              <c:f>'Clean Data'!$I$1</c:f>
              <c:strCache>
                <c:ptCount val="1"/>
                <c:pt idx="0">
                  <c:v>Phase Avg RHR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6"/>
              <c:layout>
                <c:manualLayout>
                  <c:x val="-4.5126353790613749E-2"/>
                  <c:y val="-8.3333333333333412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F6-4449-9105-506FF939DC6E}"/>
                </c:ext>
              </c:extLst>
            </c:dLbl>
            <c:dLbl>
              <c:idx val="43"/>
              <c:layout>
                <c:manualLayout>
                  <c:x val="-3.7906137184115521E-2"/>
                  <c:y val="-6.9444444444444448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F6-4449-9105-506FF939DC6E}"/>
                </c:ext>
              </c:extLst>
            </c:dLbl>
            <c:dLbl>
              <c:idx val="79"/>
              <c:layout>
                <c:manualLayout>
                  <c:x val="-3.2490974729242013E-2"/>
                  <c:y val="-8.3333333333333329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F6-4449-9105-506FF939DC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'Clean Data'!$B$8:$B$97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xVal>
          <c:yVal>
            <c:numRef>
              <c:f>'Clean Data'!$I$8:$I$97</c:f>
              <c:numCache>
                <c:formatCode>General</c:formatCode>
                <c:ptCount val="90"/>
                <c:pt idx="0">
                  <c:v>63.266666666666666</c:v>
                </c:pt>
                <c:pt idx="1">
                  <c:v>63.266666666666666</c:v>
                </c:pt>
                <c:pt idx="2">
                  <c:v>63.266666666666666</c:v>
                </c:pt>
                <c:pt idx="3">
                  <c:v>63.266666666666666</c:v>
                </c:pt>
                <c:pt idx="4">
                  <c:v>63.266666666666666</c:v>
                </c:pt>
                <c:pt idx="5">
                  <c:v>63.266666666666666</c:v>
                </c:pt>
                <c:pt idx="6">
                  <c:v>63.266666666666666</c:v>
                </c:pt>
                <c:pt idx="7">
                  <c:v>63.266666666666666</c:v>
                </c:pt>
                <c:pt idx="8">
                  <c:v>63.266666666666666</c:v>
                </c:pt>
                <c:pt idx="9">
                  <c:v>63.266666666666666</c:v>
                </c:pt>
                <c:pt idx="10">
                  <c:v>63.266666666666666</c:v>
                </c:pt>
                <c:pt idx="11">
                  <c:v>63.266666666666666</c:v>
                </c:pt>
                <c:pt idx="12">
                  <c:v>63.266666666666666</c:v>
                </c:pt>
                <c:pt idx="13">
                  <c:v>63.266666666666666</c:v>
                </c:pt>
                <c:pt idx="14">
                  <c:v>63.266666666666666</c:v>
                </c:pt>
                <c:pt idx="15">
                  <c:v>63.266666666666666</c:v>
                </c:pt>
                <c:pt idx="16">
                  <c:v>63.266666666666666</c:v>
                </c:pt>
                <c:pt idx="17">
                  <c:v>63.266666666666666</c:v>
                </c:pt>
                <c:pt idx="18">
                  <c:v>63.266666666666666</c:v>
                </c:pt>
                <c:pt idx="19">
                  <c:v>63.266666666666666</c:v>
                </c:pt>
                <c:pt idx="20">
                  <c:v>63.266666666666666</c:v>
                </c:pt>
                <c:pt idx="21">
                  <c:v>63.266666666666666</c:v>
                </c:pt>
                <c:pt idx="22">
                  <c:v>63.266666666666666</c:v>
                </c:pt>
                <c:pt idx="23">
                  <c:v>63.266666666666666</c:v>
                </c:pt>
                <c:pt idx="24">
                  <c:v>63.266666666666666</c:v>
                </c:pt>
                <c:pt idx="25">
                  <c:v>63.266666666666666</c:v>
                </c:pt>
                <c:pt idx="26">
                  <c:v>63.266666666666666</c:v>
                </c:pt>
                <c:pt idx="27">
                  <c:v>63.266666666666666</c:v>
                </c:pt>
                <c:pt idx="28">
                  <c:v>63.266666666666666</c:v>
                </c:pt>
                <c:pt idx="29">
                  <c:v>63.266666666666666</c:v>
                </c:pt>
                <c:pt idx="30">
                  <c:v>57.866666666666667</c:v>
                </c:pt>
                <c:pt idx="31">
                  <c:v>57.866666666666667</c:v>
                </c:pt>
                <c:pt idx="32">
                  <c:v>57.866666666666667</c:v>
                </c:pt>
                <c:pt idx="33">
                  <c:v>57.866666666666667</c:v>
                </c:pt>
                <c:pt idx="34">
                  <c:v>57.866666666666667</c:v>
                </c:pt>
                <c:pt idx="35">
                  <c:v>57.866666666666667</c:v>
                </c:pt>
                <c:pt idx="36">
                  <c:v>57.866666666666667</c:v>
                </c:pt>
                <c:pt idx="37">
                  <c:v>57.866666666666667</c:v>
                </c:pt>
                <c:pt idx="38">
                  <c:v>57.866666666666667</c:v>
                </c:pt>
                <c:pt idx="39">
                  <c:v>57.866666666666667</c:v>
                </c:pt>
                <c:pt idx="40">
                  <c:v>57.866666666666667</c:v>
                </c:pt>
                <c:pt idx="41">
                  <c:v>57.866666666666667</c:v>
                </c:pt>
                <c:pt idx="42">
                  <c:v>57.866666666666667</c:v>
                </c:pt>
                <c:pt idx="43">
                  <c:v>57.866666666666667</c:v>
                </c:pt>
                <c:pt idx="44">
                  <c:v>57.866666666666667</c:v>
                </c:pt>
                <c:pt idx="45">
                  <c:v>57.866666666666667</c:v>
                </c:pt>
                <c:pt idx="46">
                  <c:v>57.866666666666667</c:v>
                </c:pt>
                <c:pt idx="47">
                  <c:v>57.866666666666667</c:v>
                </c:pt>
                <c:pt idx="48">
                  <c:v>57.866666666666667</c:v>
                </c:pt>
                <c:pt idx="49">
                  <c:v>57.866666666666667</c:v>
                </c:pt>
                <c:pt idx="50">
                  <c:v>57.866666666666667</c:v>
                </c:pt>
                <c:pt idx="51">
                  <c:v>57.866666666666667</c:v>
                </c:pt>
                <c:pt idx="52">
                  <c:v>57.866666666666667</c:v>
                </c:pt>
                <c:pt idx="53">
                  <c:v>57.866666666666667</c:v>
                </c:pt>
                <c:pt idx="54">
                  <c:v>57.866666666666667</c:v>
                </c:pt>
                <c:pt idx="55">
                  <c:v>57.866666666666667</c:v>
                </c:pt>
                <c:pt idx="56">
                  <c:v>57.866666666666667</c:v>
                </c:pt>
                <c:pt idx="57">
                  <c:v>57.866666666666667</c:v>
                </c:pt>
                <c:pt idx="58">
                  <c:v>57.866666666666667</c:v>
                </c:pt>
                <c:pt idx="59">
                  <c:v>57.866666666666667</c:v>
                </c:pt>
                <c:pt idx="60">
                  <c:v>61.733333333333334</c:v>
                </c:pt>
                <c:pt idx="61">
                  <c:v>61.733333333333334</c:v>
                </c:pt>
                <c:pt idx="62">
                  <c:v>61.733333333333334</c:v>
                </c:pt>
                <c:pt idx="63">
                  <c:v>61.733333333333334</c:v>
                </c:pt>
                <c:pt idx="64">
                  <c:v>61.733333333333334</c:v>
                </c:pt>
                <c:pt idx="65">
                  <c:v>61.733333333333334</c:v>
                </c:pt>
                <c:pt idx="66">
                  <c:v>61.733333333333334</c:v>
                </c:pt>
                <c:pt idx="67">
                  <c:v>61.733333333333334</c:v>
                </c:pt>
                <c:pt idx="68">
                  <c:v>61.733333333333334</c:v>
                </c:pt>
                <c:pt idx="69">
                  <c:v>61.733333333333334</c:v>
                </c:pt>
                <c:pt idx="70">
                  <c:v>61.733333333333334</c:v>
                </c:pt>
                <c:pt idx="71">
                  <c:v>61.733333333333334</c:v>
                </c:pt>
                <c:pt idx="72">
                  <c:v>61.733333333333334</c:v>
                </c:pt>
                <c:pt idx="73">
                  <c:v>61.733333333333334</c:v>
                </c:pt>
                <c:pt idx="74">
                  <c:v>61.733333333333334</c:v>
                </c:pt>
                <c:pt idx="75">
                  <c:v>61.733333333333334</c:v>
                </c:pt>
                <c:pt idx="76">
                  <c:v>61.733333333333334</c:v>
                </c:pt>
                <c:pt idx="77">
                  <c:v>61.733333333333334</c:v>
                </c:pt>
                <c:pt idx="78">
                  <c:v>61.733333333333334</c:v>
                </c:pt>
                <c:pt idx="79">
                  <c:v>61.733333333333334</c:v>
                </c:pt>
                <c:pt idx="80">
                  <c:v>61.733333333333334</c:v>
                </c:pt>
                <c:pt idx="81">
                  <c:v>61.733333333333334</c:v>
                </c:pt>
                <c:pt idx="82">
                  <c:v>61.733333333333334</c:v>
                </c:pt>
                <c:pt idx="83">
                  <c:v>61.733333333333334</c:v>
                </c:pt>
                <c:pt idx="84">
                  <c:v>61.733333333333334</c:v>
                </c:pt>
                <c:pt idx="85">
                  <c:v>61.733333333333334</c:v>
                </c:pt>
                <c:pt idx="86">
                  <c:v>61.733333333333334</c:v>
                </c:pt>
                <c:pt idx="87">
                  <c:v>61.733333333333334</c:v>
                </c:pt>
                <c:pt idx="88">
                  <c:v>61.733333333333334</c:v>
                </c:pt>
                <c:pt idx="89">
                  <c:v>61.733333333333334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F6-4449-9105-506FF939D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253456"/>
        <c:axId val="300253936"/>
      </c:scatterChart>
      <c:valAx>
        <c:axId val="300253456"/>
        <c:scaling>
          <c:orientation val="minMax"/>
          <c:max val="9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Study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253936"/>
        <c:crosses val="autoZero"/>
        <c:crossBetween val="midCat"/>
      </c:valAx>
      <c:valAx>
        <c:axId val="300253936"/>
        <c:scaling>
          <c:orientation val="minMax"/>
          <c:max val="8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RHR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25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7-Day Trailing Average Heart Rate Variability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'Clean Data'!$D$1</c:f>
              <c:strCache>
                <c:ptCount val="1"/>
                <c:pt idx="0">
                  <c:v>7D HRV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'Clean Data'!$B$8:$B$97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</c:numCache>
            </c:numRef>
          </c:xVal>
          <c:yVal>
            <c:numRef>
              <c:f>'Clean Data'!$D$8:$D$97</c:f>
              <c:numCache>
                <c:formatCode>General</c:formatCode>
                <c:ptCount val="90"/>
                <c:pt idx="0">
                  <c:v>62.048152099567098</c:v>
                </c:pt>
                <c:pt idx="1">
                  <c:v>64.766713679653677</c:v>
                </c:pt>
                <c:pt idx="2">
                  <c:v>66.112796471861472</c:v>
                </c:pt>
                <c:pt idx="3">
                  <c:v>67.715527207792206</c:v>
                </c:pt>
                <c:pt idx="4">
                  <c:v>67.576899675324668</c:v>
                </c:pt>
                <c:pt idx="5">
                  <c:v>69.015278896103894</c:v>
                </c:pt>
                <c:pt idx="6">
                  <c:v>68.910813528138533</c:v>
                </c:pt>
                <c:pt idx="7">
                  <c:v>74.601369372294371</c:v>
                </c:pt>
                <c:pt idx="8">
                  <c:v>75.972016125541131</c:v>
                </c:pt>
                <c:pt idx="9">
                  <c:v>76.653639826839836</c:v>
                </c:pt>
                <c:pt idx="10">
                  <c:v>80.36150209790209</c:v>
                </c:pt>
                <c:pt idx="11">
                  <c:v>79.081514868464865</c:v>
                </c:pt>
                <c:pt idx="12">
                  <c:v>78.138391491841489</c:v>
                </c:pt>
                <c:pt idx="13">
                  <c:v>77.17942136197135</c:v>
                </c:pt>
                <c:pt idx="14">
                  <c:v>75.310680669330665</c:v>
                </c:pt>
                <c:pt idx="15">
                  <c:v>74.500930669330657</c:v>
                </c:pt>
                <c:pt idx="16">
                  <c:v>73.387026015651017</c:v>
                </c:pt>
                <c:pt idx="17">
                  <c:v>69.402862554112559</c:v>
                </c:pt>
                <c:pt idx="18">
                  <c:v>69.584751601731597</c:v>
                </c:pt>
                <c:pt idx="19">
                  <c:v>67.473960692640688</c:v>
                </c:pt>
                <c:pt idx="20">
                  <c:v>65.870795757575763</c:v>
                </c:pt>
                <c:pt idx="21">
                  <c:v>63.454040446220446</c:v>
                </c:pt>
                <c:pt idx="22">
                  <c:v>64.844874861804868</c:v>
                </c:pt>
                <c:pt idx="23">
                  <c:v>69.88486003496503</c:v>
                </c:pt>
                <c:pt idx="24">
                  <c:v>70.365295749250748</c:v>
                </c:pt>
                <c:pt idx="25">
                  <c:v>70.777837654012643</c:v>
                </c:pt>
                <c:pt idx="26">
                  <c:v>73.210775749250743</c:v>
                </c:pt>
                <c:pt idx="27">
                  <c:v>80.788550944055942</c:v>
                </c:pt>
                <c:pt idx="28">
                  <c:v>83.699966428571429</c:v>
                </c:pt>
                <c:pt idx="29">
                  <c:v>84.446048679653686</c:v>
                </c:pt>
                <c:pt idx="30">
                  <c:v>84.448933744588743</c:v>
                </c:pt>
                <c:pt idx="31">
                  <c:v>84.333757554112552</c:v>
                </c:pt>
                <c:pt idx="32">
                  <c:v>84.447150194805204</c:v>
                </c:pt>
                <c:pt idx="33">
                  <c:v>86.07767034132533</c:v>
                </c:pt>
                <c:pt idx="34">
                  <c:v>78.516893198468196</c:v>
                </c:pt>
                <c:pt idx="35">
                  <c:v>76.372832159507169</c:v>
                </c:pt>
                <c:pt idx="36">
                  <c:v>72.264716683316678</c:v>
                </c:pt>
                <c:pt idx="37">
                  <c:v>68.83341863136863</c:v>
                </c:pt>
                <c:pt idx="38">
                  <c:v>69.180785406260412</c:v>
                </c:pt>
                <c:pt idx="39">
                  <c:v>67.520318003663007</c:v>
                </c:pt>
                <c:pt idx="40">
                  <c:v>65.163291904761905</c:v>
                </c:pt>
                <c:pt idx="41">
                  <c:v>69.089932813852812</c:v>
                </c:pt>
                <c:pt idx="42">
                  <c:v>68.953551536796553</c:v>
                </c:pt>
                <c:pt idx="43">
                  <c:v>67.259896450216459</c:v>
                </c:pt>
                <c:pt idx="44">
                  <c:v>66.675115930735942</c:v>
                </c:pt>
                <c:pt idx="45">
                  <c:v>67.424520584415575</c:v>
                </c:pt>
                <c:pt idx="46">
                  <c:v>68.253735822510819</c:v>
                </c:pt>
                <c:pt idx="47">
                  <c:v>67.08460844155843</c:v>
                </c:pt>
                <c:pt idx="48">
                  <c:v>66.225255627705636</c:v>
                </c:pt>
                <c:pt idx="49">
                  <c:v>66.504205627705616</c:v>
                </c:pt>
                <c:pt idx="50">
                  <c:v>67.394748809523804</c:v>
                </c:pt>
                <c:pt idx="51">
                  <c:v>67.894864285714306</c:v>
                </c:pt>
                <c:pt idx="52">
                  <c:v>66.334085606060611</c:v>
                </c:pt>
                <c:pt idx="53">
                  <c:v>65.927360606060603</c:v>
                </c:pt>
                <c:pt idx="54">
                  <c:v>67.122180129870131</c:v>
                </c:pt>
                <c:pt idx="55">
                  <c:v>65.803219415584422</c:v>
                </c:pt>
                <c:pt idx="56">
                  <c:v>66.605151558441563</c:v>
                </c:pt>
                <c:pt idx="57">
                  <c:v>67.067930454545461</c:v>
                </c:pt>
                <c:pt idx="58">
                  <c:v>66.002763030303029</c:v>
                </c:pt>
                <c:pt idx="59">
                  <c:v>67.099046147186144</c:v>
                </c:pt>
                <c:pt idx="60">
                  <c:v>68.905625909090901</c:v>
                </c:pt>
                <c:pt idx="61">
                  <c:v>70.930775432900433</c:v>
                </c:pt>
                <c:pt idx="62">
                  <c:v>71.743952813852815</c:v>
                </c:pt>
                <c:pt idx="63">
                  <c:v>69.645400432900445</c:v>
                </c:pt>
                <c:pt idx="64">
                  <c:v>71.636834199134199</c:v>
                </c:pt>
                <c:pt idx="65">
                  <c:v>73.773654004329018</c:v>
                </c:pt>
                <c:pt idx="66">
                  <c:v>74.232365043290045</c:v>
                </c:pt>
                <c:pt idx="67">
                  <c:v>72.466641666666661</c:v>
                </c:pt>
                <c:pt idx="68">
                  <c:v>69.059699025974027</c:v>
                </c:pt>
                <c:pt idx="69">
                  <c:v>68.595907359307361</c:v>
                </c:pt>
                <c:pt idx="70">
                  <c:v>68.021036406926399</c:v>
                </c:pt>
                <c:pt idx="71">
                  <c:v>67.827334458874446</c:v>
                </c:pt>
                <c:pt idx="72">
                  <c:v>67.127184783549779</c:v>
                </c:pt>
                <c:pt idx="73">
                  <c:v>66.34020491341991</c:v>
                </c:pt>
                <c:pt idx="74">
                  <c:v>65.816391385281392</c:v>
                </c:pt>
                <c:pt idx="75">
                  <c:v>66.946137597402597</c:v>
                </c:pt>
                <c:pt idx="76">
                  <c:v>67.139400692640692</c:v>
                </c:pt>
                <c:pt idx="77">
                  <c:v>67.865220454545451</c:v>
                </c:pt>
                <c:pt idx="78">
                  <c:v>74.068495454545456</c:v>
                </c:pt>
                <c:pt idx="79">
                  <c:v>77.659835714285705</c:v>
                </c:pt>
                <c:pt idx="80">
                  <c:v>83.636746103896115</c:v>
                </c:pt>
                <c:pt idx="81">
                  <c:v>84.413242748917739</c:v>
                </c:pt>
                <c:pt idx="82">
                  <c:v>84.839521320346321</c:v>
                </c:pt>
                <c:pt idx="83">
                  <c:v>86.369640584415592</c:v>
                </c:pt>
                <c:pt idx="84">
                  <c:v>90.072322727272734</c:v>
                </c:pt>
                <c:pt idx="85">
                  <c:v>86.021466774891763</c:v>
                </c:pt>
                <c:pt idx="86">
                  <c:v>84.450486255411263</c:v>
                </c:pt>
                <c:pt idx="87">
                  <c:v>84.999717424242405</c:v>
                </c:pt>
                <c:pt idx="88">
                  <c:v>87.196343398268382</c:v>
                </c:pt>
                <c:pt idx="89">
                  <c:v>86.772019588744598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24-4EB6-9EE8-C664845D953D}"/>
            </c:ext>
          </c:extLst>
        </c:ser>
        <c:ser>
          <c:idx val="0"/>
          <c:order val="1"/>
          <c:tx>
            <c:strRef>
              <c:f>'Clean Data'!$M$8</c:f>
              <c:strCache>
                <c:ptCount val="1"/>
                <c:pt idx="0">
                  <c:v>Start Fast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'Clean Data'!$N$8:$N$9</c:f>
              <c:numCache>
                <c:formatCode>General</c:formatCode>
                <c:ptCount val="2"/>
                <c:pt idx="0">
                  <c:v>31</c:v>
                </c:pt>
                <c:pt idx="1">
                  <c:v>31</c:v>
                </c:pt>
              </c:numCache>
            </c:numRef>
          </c:xVal>
          <c:yVal>
            <c:numRef>
              <c:f>'Clean Data'!$O$8:$O$9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24-4EB6-9EE8-C664845D953D}"/>
            </c:ext>
          </c:extLst>
        </c:ser>
        <c:ser>
          <c:idx val="2"/>
          <c:order val="2"/>
          <c:tx>
            <c:strRef>
              <c:f>'Clean Data'!$M$10</c:f>
              <c:strCache>
                <c:ptCount val="1"/>
                <c:pt idx="0">
                  <c:v>End Fast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'Clean Data'!$N$10:$N$11</c:f>
              <c:numCache>
                <c:formatCode>General</c:formatCode>
                <c:ptCount val="2"/>
                <c:pt idx="0">
                  <c:v>61</c:v>
                </c:pt>
                <c:pt idx="1">
                  <c:v>61</c:v>
                </c:pt>
              </c:numCache>
            </c:numRef>
          </c:xVal>
          <c:yVal>
            <c:numRef>
              <c:f>'Clean Data'!$O$10:$O$11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24-4EB6-9EE8-C664845D9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674608"/>
        <c:axId val="937672688"/>
      </c:scatterChart>
      <c:valAx>
        <c:axId val="937674608"/>
        <c:scaling>
          <c:orientation val="minMax"/>
          <c:max val="9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Study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72688"/>
        <c:crosses val="autoZero"/>
        <c:crossBetween val="midCat"/>
      </c:valAx>
      <c:valAx>
        <c:axId val="93767268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7D HRV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7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363008</xdr:colOff>
      <xdr:row>17</xdr:row>
      <xdr:rowOff>113770</xdr:rowOff>
    </xdr:from>
    <xdr:to>
      <xdr:col>16</xdr:col>
      <xdr:colOff>434973</xdr:colOff>
      <xdr:row>37</xdr:row>
      <xdr:rowOff>189970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36A59B-090F-2957-2EA6-BFBF23C02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520698</xdr:colOff>
      <xdr:row>0</xdr:row>
      <xdr:rowOff>139170</xdr:rowOff>
    </xdr:from>
    <xdr:to>
      <xdr:col>27</xdr:col>
      <xdr:colOff>285749</xdr:colOff>
      <xdr:row>14</xdr:row>
      <xdr:rowOff>24870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B63937F6-E054-2DE5-F8FC-33CEBA865464}"/>
            </a:ext>
          </a:extLst>
        </xdr:cNvPr>
        <xdr:cNvGrpSpPr/>
      </xdr:nvGrpSpPr>
      <xdr:grpSpPr>
        <a:xfrm>
          <a:off x="11400365" y="139170"/>
          <a:ext cx="6517217" cy="2933700"/>
          <a:chOff x="9124948" y="4510087"/>
          <a:chExt cx="7127875" cy="27432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732F73B-A650-F329-A85D-275DC3DE12F5}"/>
              </a:ext>
            </a:extLst>
          </xdr:cNvPr>
          <xdr:cNvGraphicFramePr/>
        </xdr:nvGraphicFramePr>
        <xdr:xfrm>
          <a:off x="9124948" y="4510087"/>
          <a:ext cx="712787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0492237-FE7C-E2A6-9C5D-28E58564BF25}"/>
              </a:ext>
            </a:extLst>
          </xdr:cNvPr>
          <xdr:cNvSpPr/>
        </xdr:nvSpPr>
        <xdr:spPr>
          <a:xfrm>
            <a:off x="10137776" y="6143096"/>
            <a:ext cx="1127125" cy="2476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SG" sz="1100"/>
              <a:t>Pre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1E65392-264C-49CC-B252-C3666499E321}"/>
              </a:ext>
            </a:extLst>
          </xdr:cNvPr>
          <xdr:cNvSpPr/>
        </xdr:nvSpPr>
        <xdr:spPr>
          <a:xfrm>
            <a:off x="12333818" y="6143096"/>
            <a:ext cx="1128184" cy="2476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SG" sz="1100"/>
              <a:t>Fasting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4546851B-10CF-427C-93B5-EED5CF12B713}"/>
              </a:ext>
            </a:extLst>
          </xdr:cNvPr>
          <xdr:cNvSpPr/>
        </xdr:nvSpPr>
        <xdr:spPr>
          <a:xfrm>
            <a:off x="14521392" y="6143096"/>
            <a:ext cx="1132417" cy="2476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SG" sz="1100"/>
              <a:t>Post</a:t>
            </a:r>
          </a:p>
        </xdr:txBody>
      </xdr:sp>
    </xdr:grpSp>
    <xdr:clientData/>
  </xdr:twoCellAnchor>
  <xdr:twoCellAnchor>
    <xdr:from>
      <xdr:col>16</xdr:col>
      <xdr:colOff>519642</xdr:colOff>
      <xdr:row>14</xdr:row>
      <xdr:rowOff>89429</xdr:rowOff>
    </xdr:from>
    <xdr:to>
      <xdr:col>27</xdr:col>
      <xdr:colOff>306917</xdr:colOff>
      <xdr:row>28</xdr:row>
      <xdr:rowOff>165629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B9914A98-3AD9-A611-0DC1-9222B06ED962}"/>
            </a:ext>
          </a:extLst>
        </xdr:cNvPr>
        <xdr:cNvGrpSpPr/>
      </xdr:nvGrpSpPr>
      <xdr:grpSpPr>
        <a:xfrm>
          <a:off x="11399309" y="3137429"/>
          <a:ext cx="6539441" cy="2743200"/>
          <a:chOff x="8478308" y="7434262"/>
          <a:chExt cx="7099300" cy="27432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968EDBE-2567-32C1-6F33-9E3F46A55B5B}"/>
              </a:ext>
            </a:extLst>
          </xdr:cNvPr>
          <xdr:cNvGraphicFramePr/>
        </xdr:nvGraphicFramePr>
        <xdr:xfrm>
          <a:off x="8478308" y="7434262"/>
          <a:ext cx="70993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58074E4-173F-400C-B525-3196506C2CD8}"/>
              </a:ext>
            </a:extLst>
          </xdr:cNvPr>
          <xdr:cNvSpPr/>
        </xdr:nvSpPr>
        <xdr:spPr>
          <a:xfrm>
            <a:off x="9480551" y="9241367"/>
            <a:ext cx="1127125" cy="2476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SG" sz="1100"/>
              <a:t>Pre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F480EBFA-E6B6-4F3A-9D01-C8F3BE666239}"/>
              </a:ext>
            </a:extLst>
          </xdr:cNvPr>
          <xdr:cNvSpPr/>
        </xdr:nvSpPr>
        <xdr:spPr>
          <a:xfrm>
            <a:off x="11668126" y="9241367"/>
            <a:ext cx="1126067" cy="2476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SG" sz="1100"/>
              <a:t>Fasting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4F92E47B-E759-4443-9B3A-FD1F925E522E}"/>
              </a:ext>
            </a:extLst>
          </xdr:cNvPr>
          <xdr:cNvSpPr/>
        </xdr:nvSpPr>
        <xdr:spPr>
          <a:xfrm>
            <a:off x="13800667" y="9241367"/>
            <a:ext cx="1132417" cy="2476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SG" sz="1100"/>
              <a:t>Post</a:t>
            </a:r>
          </a:p>
        </xdr:txBody>
      </xdr:sp>
    </xdr:grpSp>
    <xdr:clientData/>
  </xdr:twoCellAnchor>
  <xdr:twoCellAnchor>
    <xdr:from>
      <xdr:col>16</xdr:col>
      <xdr:colOff>611717</xdr:colOff>
      <xdr:row>29</xdr:row>
      <xdr:rowOff>18520</xdr:rowOff>
    </xdr:from>
    <xdr:to>
      <xdr:col>27</xdr:col>
      <xdr:colOff>402167</xdr:colOff>
      <xdr:row>43</xdr:row>
      <xdr:rowOff>94720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CCF3B852-5D04-1520-DD86-715B905B4820}"/>
            </a:ext>
          </a:extLst>
        </xdr:cNvPr>
        <xdr:cNvGrpSpPr/>
      </xdr:nvGrpSpPr>
      <xdr:grpSpPr>
        <a:xfrm>
          <a:off x="11491384" y="5924020"/>
          <a:ext cx="6542616" cy="2743200"/>
          <a:chOff x="8506883" y="10358437"/>
          <a:chExt cx="7099300" cy="2743200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A2C0D89B-0C7F-5CD6-CE34-4624B45B2960}"/>
              </a:ext>
            </a:extLst>
          </xdr:cNvPr>
          <xdr:cNvGraphicFramePr/>
        </xdr:nvGraphicFramePr>
        <xdr:xfrm>
          <a:off x="8506883" y="10358437"/>
          <a:ext cx="70993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E795594-48F8-46F0-9878-65CBC1B5256B}"/>
              </a:ext>
            </a:extLst>
          </xdr:cNvPr>
          <xdr:cNvSpPr/>
        </xdr:nvSpPr>
        <xdr:spPr>
          <a:xfrm>
            <a:off x="9642605" y="12030075"/>
            <a:ext cx="1127125" cy="2476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SG" sz="1100"/>
              <a:t>Pre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AEEB67CA-9DF4-4CE4-82A9-8B372A67CAFB}"/>
              </a:ext>
            </a:extLst>
          </xdr:cNvPr>
          <xdr:cNvSpPr/>
        </xdr:nvSpPr>
        <xdr:spPr>
          <a:xfrm>
            <a:off x="11695661" y="12030075"/>
            <a:ext cx="1128184" cy="2476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SG" sz="1100"/>
              <a:t>Fasting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83FC8A4B-7FAA-4919-B898-91AF13563DDD}"/>
              </a:ext>
            </a:extLst>
          </xdr:cNvPr>
          <xdr:cNvSpPr/>
        </xdr:nvSpPr>
        <xdr:spPr>
          <a:xfrm>
            <a:off x="13805550" y="12020550"/>
            <a:ext cx="1132417" cy="2476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SG" sz="1100"/>
              <a:t>Post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6D62-ED1E-4ABE-A703-C23FA1F69339}">
  <sheetPr>
    <tabColor theme="6" tint="0.79998168889431442"/>
  </sheetPr>
  <dimension ref="A1:P97"/>
  <sheetViews>
    <sheetView tabSelected="1" topLeftCell="A8" zoomScale="90" zoomScaleNormal="90" workbookViewId="0">
      <selection activeCell="K16" sqref="K16"/>
    </sheetView>
  </sheetViews>
  <sheetFormatPr defaultRowHeight="15" x14ac:dyDescent="0.25"/>
  <cols>
    <col min="2" max="2" width="9.85546875" customWidth="1"/>
    <col min="7" max="7" width="10.42578125" customWidth="1"/>
    <col min="8" max="8" width="14.42578125" bestFit="1" customWidth="1"/>
    <col min="9" max="9" width="14.42578125" customWidth="1"/>
    <col min="12" max="12" width="11.28515625" bestFit="1" customWidth="1"/>
    <col min="13" max="13" width="9.140625" bestFit="1" customWidth="1"/>
    <col min="14" max="14" width="9.85546875" bestFit="1" customWidth="1"/>
    <col min="15" max="15" width="9.5703125" customWidth="1"/>
    <col min="16" max="16" width="9.7109375" bestFit="1" customWidth="1"/>
    <col min="17" max="17" width="9.140625" customWidth="1"/>
  </cols>
  <sheetData>
    <row r="1" spans="1:16" s="4" customFormat="1" ht="45" x14ac:dyDescent="0.25">
      <c r="A1" s="3" t="s">
        <v>3</v>
      </c>
      <c r="B1" s="2" t="s">
        <v>19</v>
      </c>
      <c r="C1" s="2" t="s">
        <v>0</v>
      </c>
      <c r="D1" s="2" t="s">
        <v>13</v>
      </c>
      <c r="E1" s="2" t="s">
        <v>1</v>
      </c>
      <c r="F1" s="2" t="s">
        <v>2</v>
      </c>
      <c r="G1" s="2" t="s">
        <v>20</v>
      </c>
      <c r="H1" s="3" t="s">
        <v>15</v>
      </c>
      <c r="I1" s="3" t="s">
        <v>16</v>
      </c>
      <c r="L1" s="1"/>
      <c r="M1" s="2"/>
      <c r="N1" s="2" t="s">
        <v>17</v>
      </c>
      <c r="O1" s="2" t="s">
        <v>17</v>
      </c>
      <c r="P1" s="2" t="s">
        <v>18</v>
      </c>
    </row>
    <row r="2" spans="1:16" x14ac:dyDescent="0.25">
      <c r="A2" t="s">
        <v>14</v>
      </c>
      <c r="B2">
        <v>-6</v>
      </c>
      <c r="C2">
        <v>54.871241666666663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L2" s="1" t="s">
        <v>12</v>
      </c>
      <c r="M2" s="2" t="s">
        <v>3</v>
      </c>
      <c r="N2" s="2" t="s">
        <v>7</v>
      </c>
      <c r="O2" s="2" t="s">
        <v>8</v>
      </c>
      <c r="P2" s="2" t="s">
        <v>9</v>
      </c>
    </row>
    <row r="3" spans="1:16" x14ac:dyDescent="0.25">
      <c r="A3" t="s">
        <v>14</v>
      </c>
      <c r="B3">
        <v>-5</v>
      </c>
      <c r="C3">
        <v>55.288945454545456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L3">
        <f>COUNTIF($A$8:$A$97, M3)</f>
        <v>30</v>
      </c>
      <c r="M3" t="s">
        <v>4</v>
      </c>
      <c r="N3">
        <f>AVERAGEIF($A$8:$A$97, $M3, C$8:C$97)</f>
        <v>74.23041641181041</v>
      </c>
      <c r="O3">
        <f>AVERAGEIF($A$8:$A$97, $M3, E$8:E$97)</f>
        <v>63.266666666666666</v>
      </c>
      <c r="P3">
        <f>AVERAGEIF($A$8:$A$97, $M3, F$8:F$97)</f>
        <v>6.9161666666666664</v>
      </c>
    </row>
    <row r="4" spans="1:16" x14ac:dyDescent="0.25">
      <c r="A4" t="s">
        <v>14</v>
      </c>
      <c r="B4">
        <v>-4</v>
      </c>
      <c r="C4">
        <v>59.435418181818179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L4">
        <f>COUNTIF($A$8:$A$97, M4)</f>
        <v>30</v>
      </c>
      <c r="M4" t="s">
        <v>5</v>
      </c>
      <c r="N4">
        <f>AVERAGEIF($A$8:$A$97, $M4, C$8:C$97)</f>
        <v>68.617731862470862</v>
      </c>
      <c r="O4">
        <f>AVERAGEIF($A$8:$A$97, $M4, E$8:E$97)</f>
        <v>57.866666666666667</v>
      </c>
      <c r="P4">
        <f>AVERAGEIF($A$8:$A$97, $M4, F$8:F$97)</f>
        <v>7.1569629629629636</v>
      </c>
    </row>
    <row r="5" spans="1:16" x14ac:dyDescent="0.25">
      <c r="A5" t="s">
        <v>14</v>
      </c>
      <c r="B5">
        <v>-3</v>
      </c>
      <c r="C5">
        <v>79.067620000000005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L5">
        <f>COUNTIF($A$8:$A$97, M5)</f>
        <v>30</v>
      </c>
      <c r="M5" t="s">
        <v>6</v>
      </c>
      <c r="N5">
        <f>AVERAGEIF($A$8:$A$97, $M5, C$8:C$97)</f>
        <v>76.944971979797998</v>
      </c>
      <c r="O5">
        <f>AVERAGEIF($A$8:$A$97, $M5, E$8:E$97)</f>
        <v>61.733333333333334</v>
      </c>
      <c r="P5">
        <f>AVERAGEIF($A$8:$A$97, $M5, F$8:F$97)</f>
        <v>6.6486203703703683</v>
      </c>
    </row>
    <row r="6" spans="1:16" x14ac:dyDescent="0.25">
      <c r="A6" t="s">
        <v>14</v>
      </c>
      <c r="B6">
        <v>-2</v>
      </c>
      <c r="C6">
        <v>61.963045454545451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</row>
    <row r="7" spans="1:16" x14ac:dyDescent="0.25">
      <c r="A7" t="s">
        <v>14</v>
      </c>
      <c r="B7">
        <v>-1</v>
      </c>
      <c r="C7">
        <v>69.046566666666664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N7" s="1" t="s">
        <v>19</v>
      </c>
    </row>
    <row r="8" spans="1:16" x14ac:dyDescent="0.25">
      <c r="A8" t="s">
        <v>4</v>
      </c>
      <c r="B8">
        <v>1</v>
      </c>
      <c r="C8">
        <v>54.664227272727267</v>
      </c>
      <c r="D8">
        <v>62.048152099567098</v>
      </c>
      <c r="E8">
        <v>69</v>
      </c>
      <c r="F8">
        <v>6.6416666666666657</v>
      </c>
      <c r="G8" t="s">
        <v>14</v>
      </c>
      <c r="H8">
        <v>74.23041641181041</v>
      </c>
      <c r="I8">
        <v>63.266666666666666</v>
      </c>
      <c r="L8" t="s">
        <v>0</v>
      </c>
      <c r="M8" t="s">
        <v>10</v>
      </c>
      <c r="N8">
        <v>31</v>
      </c>
      <c r="O8">
        <v>0</v>
      </c>
    </row>
    <row r="9" spans="1:16" x14ac:dyDescent="0.25">
      <c r="A9" t="s">
        <v>4</v>
      </c>
      <c r="B9">
        <v>2</v>
      </c>
      <c r="C9">
        <v>73.901172727272737</v>
      </c>
      <c r="D9">
        <v>64.766713679653677</v>
      </c>
      <c r="E9">
        <v>65</v>
      </c>
      <c r="F9">
        <v>7.3999999999999995</v>
      </c>
      <c r="G9">
        <f>F8</f>
        <v>6.6416666666666657</v>
      </c>
      <c r="H9">
        <v>74.23041641181041</v>
      </c>
      <c r="I9">
        <v>63.266666666666666</v>
      </c>
      <c r="M9" t="s">
        <v>10</v>
      </c>
      <c r="N9">
        <v>31</v>
      </c>
      <c r="O9">
        <v>120</v>
      </c>
    </row>
    <row r="10" spans="1:16" x14ac:dyDescent="0.25">
      <c r="A10" t="s">
        <v>4</v>
      </c>
      <c r="B10">
        <v>3</v>
      </c>
      <c r="C10">
        <v>64.711524999999995</v>
      </c>
      <c r="D10">
        <v>66.112796471861472</v>
      </c>
      <c r="E10">
        <v>59</v>
      </c>
      <c r="F10">
        <v>7.0083333333333329</v>
      </c>
      <c r="G10">
        <f t="shared" ref="G10:G73" si="0">F9</f>
        <v>7.3999999999999995</v>
      </c>
      <c r="H10">
        <v>74.23041641181041</v>
      </c>
      <c r="I10">
        <v>63.266666666666666</v>
      </c>
      <c r="M10" t="s">
        <v>11</v>
      </c>
      <c r="N10">
        <v>61</v>
      </c>
      <c r="O10">
        <v>0</v>
      </c>
    </row>
    <row r="11" spans="1:16" x14ac:dyDescent="0.25">
      <c r="A11" t="s">
        <v>4</v>
      </c>
      <c r="B11">
        <v>4</v>
      </c>
      <c r="C11">
        <v>70.654533333333319</v>
      </c>
      <c r="D11">
        <v>67.715527207792206</v>
      </c>
      <c r="E11">
        <v>61</v>
      </c>
      <c r="F11">
        <v>7.35</v>
      </c>
      <c r="G11">
        <f t="shared" si="0"/>
        <v>7.0083333333333329</v>
      </c>
      <c r="H11">
        <v>74.23041641181041</v>
      </c>
      <c r="I11">
        <v>63.266666666666666</v>
      </c>
      <c r="M11" t="s">
        <v>11</v>
      </c>
      <c r="N11">
        <v>61</v>
      </c>
      <c r="O11">
        <v>120</v>
      </c>
    </row>
    <row r="12" spans="1:16" x14ac:dyDescent="0.25">
      <c r="A12" t="s">
        <v>4</v>
      </c>
      <c r="B12">
        <v>5</v>
      </c>
      <c r="C12">
        <v>78.097227272727267</v>
      </c>
      <c r="D12">
        <v>67.576899675324668</v>
      </c>
      <c r="E12">
        <v>65</v>
      </c>
      <c r="F12">
        <v>6.25</v>
      </c>
      <c r="G12">
        <f t="shared" si="0"/>
        <v>7.35</v>
      </c>
      <c r="H12">
        <v>74.23041641181041</v>
      </c>
      <c r="I12">
        <v>63.266666666666666</v>
      </c>
    </row>
    <row r="13" spans="1:16" x14ac:dyDescent="0.25">
      <c r="A13" t="s">
        <v>4</v>
      </c>
      <c r="B13">
        <v>6</v>
      </c>
      <c r="C13">
        <v>72.031700000000001</v>
      </c>
      <c r="D13">
        <v>69.015278896103894</v>
      </c>
      <c r="E13">
        <v>65</v>
      </c>
      <c r="F13">
        <v>8.7333333333333325</v>
      </c>
      <c r="G13">
        <f t="shared" si="0"/>
        <v>6.25</v>
      </c>
      <c r="H13">
        <v>74.23041641181041</v>
      </c>
      <c r="I13">
        <v>63.266666666666666</v>
      </c>
      <c r="N13" s="1" t="s">
        <v>19</v>
      </c>
    </row>
    <row r="14" spans="1:16" x14ac:dyDescent="0.25">
      <c r="A14" t="s">
        <v>4</v>
      </c>
      <c r="B14">
        <v>7</v>
      </c>
      <c r="C14">
        <v>68.315309090909096</v>
      </c>
      <c r="D14">
        <v>68.910813528138533</v>
      </c>
      <c r="E14">
        <v>62</v>
      </c>
      <c r="F14">
        <v>6.8083333333333336</v>
      </c>
      <c r="G14">
        <f t="shared" si="0"/>
        <v>8.7333333333333325</v>
      </c>
      <c r="H14">
        <v>74.23041641181041</v>
      </c>
      <c r="I14">
        <v>63.266666666666666</v>
      </c>
      <c r="L14" t="s">
        <v>1</v>
      </c>
      <c r="M14" t="s">
        <v>10</v>
      </c>
      <c r="N14">
        <v>31</v>
      </c>
      <c r="O14">
        <v>0</v>
      </c>
    </row>
    <row r="15" spans="1:16" x14ac:dyDescent="0.25">
      <c r="A15" t="s">
        <v>4</v>
      </c>
      <c r="B15">
        <v>8</v>
      </c>
      <c r="C15">
        <v>94.498118181818185</v>
      </c>
      <c r="D15">
        <v>74.601369372294371</v>
      </c>
      <c r="E15">
        <v>64</v>
      </c>
      <c r="F15">
        <v>6.5249999999999995</v>
      </c>
      <c r="G15">
        <f t="shared" si="0"/>
        <v>6.8083333333333336</v>
      </c>
      <c r="H15">
        <v>74.23041641181041</v>
      </c>
      <c r="I15">
        <v>63.266666666666666</v>
      </c>
      <c r="M15" t="s">
        <v>10</v>
      </c>
      <c r="N15">
        <v>31</v>
      </c>
      <c r="O15">
        <v>80</v>
      </c>
    </row>
    <row r="16" spans="1:16" x14ac:dyDescent="0.25">
      <c r="A16" t="s">
        <v>4</v>
      </c>
      <c r="B16">
        <v>9</v>
      </c>
      <c r="C16">
        <v>83.495699999999999</v>
      </c>
      <c r="D16">
        <v>75.972016125541131</v>
      </c>
      <c r="E16">
        <v>63</v>
      </c>
      <c r="F16">
        <v>5.9833333333333334</v>
      </c>
      <c r="G16">
        <f t="shared" si="0"/>
        <v>6.5249999999999995</v>
      </c>
      <c r="H16">
        <v>74.23041641181041</v>
      </c>
      <c r="I16">
        <v>63.266666666666666</v>
      </c>
      <c r="M16" t="s">
        <v>11</v>
      </c>
      <c r="N16">
        <v>61</v>
      </c>
      <c r="O16">
        <v>0</v>
      </c>
    </row>
    <row r="17" spans="1:15" x14ac:dyDescent="0.25">
      <c r="A17" t="s">
        <v>4</v>
      </c>
      <c r="B17">
        <v>10</v>
      </c>
      <c r="C17">
        <v>69.482890909090898</v>
      </c>
      <c r="D17">
        <v>76.653639826839836</v>
      </c>
      <c r="E17">
        <v>66</v>
      </c>
      <c r="F17">
        <v>6.5919444444444446</v>
      </c>
      <c r="G17">
        <f t="shared" si="0"/>
        <v>5.9833333333333334</v>
      </c>
      <c r="H17">
        <v>74.23041641181041</v>
      </c>
      <c r="I17">
        <v>63.266666666666666</v>
      </c>
      <c r="M17" t="s">
        <v>11</v>
      </c>
      <c r="N17">
        <v>61</v>
      </c>
      <c r="O17">
        <v>80</v>
      </c>
    </row>
    <row r="18" spans="1:15" x14ac:dyDescent="0.25">
      <c r="A18" t="s">
        <v>4</v>
      </c>
      <c r="B18">
        <v>11</v>
      </c>
      <c r="C18">
        <v>96.609569230769225</v>
      </c>
      <c r="D18">
        <v>80.36150209790209</v>
      </c>
      <c r="E18">
        <v>60</v>
      </c>
      <c r="F18">
        <v>7.4752777777777784</v>
      </c>
      <c r="G18">
        <f t="shared" si="0"/>
        <v>6.5919444444444446</v>
      </c>
      <c r="H18">
        <v>74.23041641181041</v>
      </c>
      <c r="I18">
        <v>63.266666666666666</v>
      </c>
    </row>
    <row r="19" spans="1:15" x14ac:dyDescent="0.25">
      <c r="A19" t="s">
        <v>4</v>
      </c>
      <c r="B19">
        <v>12</v>
      </c>
      <c r="C19">
        <v>69.137316666666649</v>
      </c>
      <c r="D19">
        <v>79.081514868464865</v>
      </c>
      <c r="E19">
        <v>64</v>
      </c>
      <c r="F19">
        <v>7.6333333333333337</v>
      </c>
      <c r="G19">
        <f t="shared" si="0"/>
        <v>7.4752777777777784</v>
      </c>
      <c r="H19">
        <v>74.23041641181041</v>
      </c>
      <c r="I19">
        <v>63.266666666666666</v>
      </c>
    </row>
    <row r="20" spans="1:15" x14ac:dyDescent="0.25">
      <c r="A20" t="s">
        <v>4</v>
      </c>
      <c r="B20">
        <v>13</v>
      </c>
      <c r="C20">
        <v>65.429836363636355</v>
      </c>
      <c r="D20">
        <v>78.138391491841489</v>
      </c>
      <c r="E20">
        <v>61</v>
      </c>
      <c r="F20">
        <v>6.8416666666666668</v>
      </c>
      <c r="G20">
        <f t="shared" si="0"/>
        <v>7.6333333333333337</v>
      </c>
      <c r="H20">
        <v>74.23041641181041</v>
      </c>
      <c r="I20">
        <v>63.266666666666666</v>
      </c>
    </row>
    <row r="21" spans="1:15" x14ac:dyDescent="0.25">
      <c r="A21" t="s">
        <v>4</v>
      </c>
      <c r="B21">
        <v>14</v>
      </c>
      <c r="C21">
        <v>61.602518181818184</v>
      </c>
      <c r="D21">
        <v>77.17942136197135</v>
      </c>
      <c r="E21">
        <v>65</v>
      </c>
      <c r="F21">
        <v>6.6833333333333327</v>
      </c>
      <c r="G21">
        <f t="shared" si="0"/>
        <v>6.8416666666666668</v>
      </c>
      <c r="H21">
        <v>74.23041641181041</v>
      </c>
      <c r="I21">
        <v>63.266666666666666</v>
      </c>
    </row>
    <row r="22" spans="1:15" x14ac:dyDescent="0.25">
      <c r="A22" t="s">
        <v>4</v>
      </c>
      <c r="B22">
        <v>15</v>
      </c>
      <c r="C22">
        <v>81.416933333333347</v>
      </c>
      <c r="D22">
        <v>75.310680669330665</v>
      </c>
      <c r="E22">
        <v>62</v>
      </c>
      <c r="F22">
        <v>6.1583333333333341</v>
      </c>
      <c r="G22">
        <f t="shared" si="0"/>
        <v>6.6833333333333327</v>
      </c>
      <c r="H22">
        <v>74.23041641181041</v>
      </c>
      <c r="I22">
        <v>63.266666666666666</v>
      </c>
    </row>
    <row r="23" spans="1:15" x14ac:dyDescent="0.25">
      <c r="A23" t="s">
        <v>4</v>
      </c>
      <c r="B23">
        <v>16</v>
      </c>
      <c r="C23">
        <v>77.827449999999999</v>
      </c>
      <c r="D23">
        <v>74.500930669330657</v>
      </c>
      <c r="E23">
        <v>59</v>
      </c>
      <c r="F23">
        <v>7.666666666666667</v>
      </c>
      <c r="G23">
        <f t="shared" si="0"/>
        <v>6.1583333333333341</v>
      </c>
      <c r="H23">
        <v>74.23041641181041</v>
      </c>
      <c r="I23">
        <v>63.266666666666666</v>
      </c>
    </row>
    <row r="24" spans="1:15" x14ac:dyDescent="0.25">
      <c r="A24" t="s">
        <v>4</v>
      </c>
      <c r="B24">
        <v>17</v>
      </c>
      <c r="C24">
        <v>61.685558333333326</v>
      </c>
      <c r="D24">
        <v>73.387026015651017</v>
      </c>
      <c r="E24">
        <v>60</v>
      </c>
      <c r="F24">
        <v>7.1502777777777764</v>
      </c>
      <c r="G24">
        <f t="shared" si="0"/>
        <v>7.666666666666667</v>
      </c>
      <c r="H24">
        <v>74.23041641181041</v>
      </c>
      <c r="I24">
        <v>63.266666666666666</v>
      </c>
    </row>
    <row r="25" spans="1:15" x14ac:dyDescent="0.25">
      <c r="A25" t="s">
        <v>4</v>
      </c>
      <c r="B25">
        <v>18</v>
      </c>
      <c r="C25">
        <v>68.720424999999992</v>
      </c>
      <c r="D25">
        <v>69.402862554112559</v>
      </c>
      <c r="E25">
        <v>59</v>
      </c>
      <c r="F25">
        <v>6.9002777777777791</v>
      </c>
      <c r="G25">
        <f t="shared" si="0"/>
        <v>7.1502777777777764</v>
      </c>
      <c r="H25">
        <v>74.23041641181041</v>
      </c>
      <c r="I25">
        <v>63.266666666666666</v>
      </c>
    </row>
    <row r="26" spans="1:15" x14ac:dyDescent="0.25">
      <c r="A26" t="s">
        <v>4</v>
      </c>
      <c r="B26">
        <v>19</v>
      </c>
      <c r="C26">
        <v>70.410539999999997</v>
      </c>
      <c r="D26">
        <v>69.584751601731597</v>
      </c>
      <c r="E26">
        <v>63</v>
      </c>
      <c r="F26">
        <v>9.033333333333335</v>
      </c>
      <c r="G26">
        <f t="shared" si="0"/>
        <v>6.9002777777777791</v>
      </c>
      <c r="H26">
        <v>74.23041641181041</v>
      </c>
      <c r="I26">
        <v>63.266666666666666</v>
      </c>
    </row>
    <row r="27" spans="1:15" x14ac:dyDescent="0.25">
      <c r="A27" t="s">
        <v>4</v>
      </c>
      <c r="B27">
        <v>20</v>
      </c>
      <c r="C27">
        <v>50.654299999999992</v>
      </c>
      <c r="D27">
        <v>67.473960692640688</v>
      </c>
      <c r="E27">
        <v>65</v>
      </c>
      <c r="F27">
        <v>5.9749999999999996</v>
      </c>
      <c r="G27">
        <f t="shared" si="0"/>
        <v>9.033333333333335</v>
      </c>
      <c r="H27">
        <v>74.23041641181041</v>
      </c>
      <c r="I27">
        <v>63.266666666666666</v>
      </c>
    </row>
    <row r="28" spans="1:15" x14ac:dyDescent="0.25">
      <c r="A28" t="s">
        <v>4</v>
      </c>
      <c r="B28">
        <v>21</v>
      </c>
      <c r="C28">
        <v>50.380363636363633</v>
      </c>
      <c r="D28">
        <v>65.870795757575763</v>
      </c>
      <c r="E28">
        <v>63</v>
      </c>
      <c r="F28">
        <v>6.2916666666666661</v>
      </c>
      <c r="G28">
        <f t="shared" si="0"/>
        <v>5.9749999999999996</v>
      </c>
      <c r="H28">
        <v>74.23041641181041</v>
      </c>
      <c r="I28">
        <v>63.266666666666666</v>
      </c>
    </row>
    <row r="29" spans="1:15" x14ac:dyDescent="0.25">
      <c r="A29" t="s">
        <v>4</v>
      </c>
      <c r="B29">
        <v>22</v>
      </c>
      <c r="C29">
        <v>64.499646153846157</v>
      </c>
      <c r="D29">
        <v>63.454040446220446</v>
      </c>
      <c r="E29">
        <v>64</v>
      </c>
      <c r="F29">
        <v>5.450277777777778</v>
      </c>
      <c r="G29">
        <f t="shared" si="0"/>
        <v>6.2916666666666661</v>
      </c>
      <c r="H29">
        <v>74.23041641181041</v>
      </c>
      <c r="I29">
        <v>63.266666666666666</v>
      </c>
    </row>
    <row r="30" spans="1:15" x14ac:dyDescent="0.25">
      <c r="A30" t="s">
        <v>4</v>
      </c>
      <c r="B30">
        <v>23</v>
      </c>
      <c r="C30">
        <v>87.56329090909091</v>
      </c>
      <c r="D30">
        <v>64.844874861804868</v>
      </c>
      <c r="E30">
        <v>63</v>
      </c>
      <c r="F30">
        <v>6.9750000000000005</v>
      </c>
      <c r="G30">
        <f t="shared" si="0"/>
        <v>5.450277777777778</v>
      </c>
      <c r="H30">
        <v>74.23041641181041</v>
      </c>
      <c r="I30">
        <v>63.266666666666666</v>
      </c>
    </row>
    <row r="31" spans="1:15" x14ac:dyDescent="0.25">
      <c r="A31" t="s">
        <v>4</v>
      </c>
      <c r="B31">
        <v>24</v>
      </c>
      <c r="C31">
        <v>96.965454545454534</v>
      </c>
      <c r="D31">
        <v>69.88486003496503</v>
      </c>
      <c r="E31">
        <v>66</v>
      </c>
      <c r="F31">
        <v>7.5416666666666679</v>
      </c>
      <c r="G31">
        <f t="shared" si="0"/>
        <v>6.9750000000000005</v>
      </c>
      <c r="H31">
        <v>74.23041641181041</v>
      </c>
      <c r="I31">
        <v>63.266666666666666</v>
      </c>
    </row>
    <row r="32" spans="1:15" x14ac:dyDescent="0.25">
      <c r="A32" t="s">
        <v>4</v>
      </c>
      <c r="B32">
        <v>25</v>
      </c>
      <c r="C32">
        <v>72.083475000000007</v>
      </c>
      <c r="D32">
        <v>70.365295749250748</v>
      </c>
      <c r="E32">
        <v>63</v>
      </c>
      <c r="F32">
        <v>6.9416666666666655</v>
      </c>
      <c r="G32">
        <f t="shared" si="0"/>
        <v>7.5416666666666679</v>
      </c>
      <c r="H32">
        <v>74.23041641181041</v>
      </c>
      <c r="I32">
        <v>63.266666666666666</v>
      </c>
    </row>
    <row r="33" spans="1:9" x14ac:dyDescent="0.25">
      <c r="A33" t="s">
        <v>4</v>
      </c>
      <c r="B33">
        <v>26</v>
      </c>
      <c r="C33">
        <v>73.298333333333318</v>
      </c>
      <c r="D33">
        <v>70.777837654012643</v>
      </c>
      <c r="E33">
        <v>61</v>
      </c>
      <c r="F33">
        <v>7.4252777777777776</v>
      </c>
      <c r="G33">
        <f t="shared" si="0"/>
        <v>6.9416666666666655</v>
      </c>
      <c r="H33">
        <v>74.23041641181041</v>
      </c>
      <c r="I33">
        <v>63.266666666666666</v>
      </c>
    </row>
    <row r="34" spans="1:9" x14ac:dyDescent="0.25">
      <c r="A34" t="s">
        <v>4</v>
      </c>
      <c r="B34">
        <v>27</v>
      </c>
      <c r="C34">
        <v>67.684866666666665</v>
      </c>
      <c r="D34">
        <v>73.210775749250743</v>
      </c>
      <c r="E34">
        <v>65</v>
      </c>
      <c r="F34">
        <v>8.0749999999999993</v>
      </c>
      <c r="G34">
        <f t="shared" si="0"/>
        <v>7.4252777777777776</v>
      </c>
      <c r="H34">
        <v>74.23041641181041</v>
      </c>
      <c r="I34">
        <v>63.266666666666666</v>
      </c>
    </row>
    <row r="35" spans="1:9" x14ac:dyDescent="0.25">
      <c r="A35" t="s">
        <v>4</v>
      </c>
      <c r="B35">
        <v>28</v>
      </c>
      <c r="C35">
        <v>103.42479</v>
      </c>
      <c r="D35">
        <v>80.788550944055942</v>
      </c>
      <c r="E35">
        <v>64</v>
      </c>
      <c r="F35">
        <v>5.3749999999999991</v>
      </c>
      <c r="G35">
        <f t="shared" si="0"/>
        <v>8.0749999999999993</v>
      </c>
      <c r="H35">
        <v>74.23041641181041</v>
      </c>
      <c r="I35">
        <v>63.266666666666666</v>
      </c>
    </row>
    <row r="36" spans="1:9" x14ac:dyDescent="0.25">
      <c r="A36" t="s">
        <v>4</v>
      </c>
      <c r="B36">
        <v>29</v>
      </c>
      <c r="C36">
        <v>84.879554545454553</v>
      </c>
      <c r="D36">
        <v>83.699966428571429</v>
      </c>
      <c r="E36">
        <v>67</v>
      </c>
      <c r="F36">
        <v>7.6750000000000034</v>
      </c>
      <c r="G36">
        <f t="shared" si="0"/>
        <v>5.3749999999999991</v>
      </c>
      <c r="H36">
        <v>74.23041641181041</v>
      </c>
      <c r="I36">
        <v>63.266666666666666</v>
      </c>
    </row>
    <row r="37" spans="1:9" x14ac:dyDescent="0.25">
      <c r="A37" t="s">
        <v>4</v>
      </c>
      <c r="B37">
        <v>30</v>
      </c>
      <c r="C37">
        <v>92.785866666666664</v>
      </c>
      <c r="D37">
        <v>84.446048679653686</v>
      </c>
      <c r="E37">
        <v>65</v>
      </c>
      <c r="F37">
        <v>4.9249999999999998</v>
      </c>
      <c r="G37">
        <f t="shared" si="0"/>
        <v>7.6750000000000034</v>
      </c>
      <c r="H37">
        <v>74.23041641181041</v>
      </c>
      <c r="I37">
        <v>63.266666666666666</v>
      </c>
    </row>
    <row r="38" spans="1:9" x14ac:dyDescent="0.25">
      <c r="A38" t="s">
        <v>5</v>
      </c>
      <c r="B38">
        <v>31</v>
      </c>
      <c r="C38">
        <v>96.985650000000007</v>
      </c>
      <c r="D38">
        <v>84.448933744588743</v>
      </c>
      <c r="E38">
        <v>56</v>
      </c>
      <c r="F38">
        <v>6.283333333333335</v>
      </c>
      <c r="G38">
        <f t="shared" si="0"/>
        <v>4.9249999999999998</v>
      </c>
      <c r="H38">
        <v>68.617731862470862</v>
      </c>
      <c r="I38">
        <v>57.866666666666667</v>
      </c>
    </row>
    <row r="39" spans="1:9" x14ac:dyDescent="0.25">
      <c r="A39" t="s">
        <v>5</v>
      </c>
      <c r="B39">
        <v>32</v>
      </c>
      <c r="C39">
        <v>71.277241666666669</v>
      </c>
      <c r="D39">
        <v>84.333757554112552</v>
      </c>
      <c r="E39">
        <v>59</v>
      </c>
      <c r="F39">
        <v>7.5497222222222211</v>
      </c>
      <c r="G39">
        <f t="shared" si="0"/>
        <v>6.283333333333335</v>
      </c>
      <c r="H39">
        <v>68.617731862470862</v>
      </c>
      <c r="I39">
        <v>57.866666666666667</v>
      </c>
    </row>
    <row r="40" spans="1:9" x14ac:dyDescent="0.25">
      <c r="A40" t="s">
        <v>5</v>
      </c>
      <c r="B40">
        <v>33</v>
      </c>
      <c r="C40">
        <v>74.092081818181811</v>
      </c>
      <c r="D40">
        <v>84.447150194805204</v>
      </c>
      <c r="E40">
        <v>57</v>
      </c>
      <c r="F40">
        <v>8.9750000000000014</v>
      </c>
      <c r="G40">
        <f t="shared" si="0"/>
        <v>7.5497222222222211</v>
      </c>
      <c r="H40">
        <v>68.617731862470862</v>
      </c>
      <c r="I40">
        <v>57.866666666666667</v>
      </c>
    </row>
    <row r="41" spans="1:9" x14ac:dyDescent="0.25">
      <c r="A41" t="s">
        <v>5</v>
      </c>
      <c r="B41">
        <v>34</v>
      </c>
      <c r="C41">
        <v>79.098507692307692</v>
      </c>
      <c r="D41">
        <v>86.07767034132533</v>
      </c>
      <c r="E41">
        <v>55</v>
      </c>
      <c r="F41">
        <v>7.7750000000000004</v>
      </c>
      <c r="G41">
        <f t="shared" si="0"/>
        <v>8.9750000000000014</v>
      </c>
      <c r="H41">
        <v>68.617731862470862</v>
      </c>
      <c r="I41">
        <v>57.866666666666667</v>
      </c>
    </row>
    <row r="42" spans="1:9" x14ac:dyDescent="0.25">
      <c r="A42" t="s">
        <v>5</v>
      </c>
      <c r="B42">
        <v>35</v>
      </c>
      <c r="C42">
        <v>50.49935</v>
      </c>
      <c r="D42">
        <v>78.516893198468196</v>
      </c>
      <c r="E42">
        <v>58</v>
      </c>
      <c r="F42">
        <v>6.5750000000000011</v>
      </c>
      <c r="G42">
        <f t="shared" si="0"/>
        <v>7.7750000000000004</v>
      </c>
      <c r="H42">
        <v>68.617731862470862</v>
      </c>
      <c r="I42">
        <v>57.866666666666667</v>
      </c>
    </row>
    <row r="43" spans="1:9" x14ac:dyDescent="0.25">
      <c r="A43" t="s">
        <v>5</v>
      </c>
      <c r="B43">
        <v>36</v>
      </c>
      <c r="C43">
        <v>69.871127272727279</v>
      </c>
      <c r="D43">
        <v>76.372832159507169</v>
      </c>
      <c r="E43">
        <v>54</v>
      </c>
      <c r="F43">
        <v>6.1750000000000016</v>
      </c>
      <c r="G43">
        <f t="shared" si="0"/>
        <v>6.5750000000000011</v>
      </c>
      <c r="H43">
        <v>68.617731862470862</v>
      </c>
      <c r="I43">
        <v>57.866666666666667</v>
      </c>
    </row>
    <row r="44" spans="1:9" x14ac:dyDescent="0.25">
      <c r="A44" t="s">
        <v>5</v>
      </c>
      <c r="B44">
        <v>37</v>
      </c>
      <c r="C44">
        <v>64.029058333333339</v>
      </c>
      <c r="D44">
        <v>72.264716683316678</v>
      </c>
      <c r="E44">
        <v>56</v>
      </c>
      <c r="F44">
        <v>4.291666666666667</v>
      </c>
      <c r="G44">
        <f t="shared" si="0"/>
        <v>6.1750000000000016</v>
      </c>
      <c r="H44">
        <v>68.617731862470862</v>
      </c>
      <c r="I44">
        <v>57.866666666666667</v>
      </c>
    </row>
    <row r="45" spans="1:9" x14ac:dyDescent="0.25">
      <c r="A45" t="s">
        <v>5</v>
      </c>
      <c r="B45">
        <v>38</v>
      </c>
      <c r="C45">
        <v>72.966563636363631</v>
      </c>
      <c r="D45">
        <v>68.83341863136863</v>
      </c>
      <c r="E45">
        <v>55</v>
      </c>
      <c r="F45">
        <v>5.8666666666666671</v>
      </c>
      <c r="G45">
        <f t="shared" si="0"/>
        <v>4.291666666666667</v>
      </c>
      <c r="H45">
        <v>68.617731862470862</v>
      </c>
      <c r="I45">
        <v>57.866666666666667</v>
      </c>
    </row>
    <row r="46" spans="1:9" x14ac:dyDescent="0.25">
      <c r="A46" t="s">
        <v>5</v>
      </c>
      <c r="B46">
        <v>39</v>
      </c>
      <c r="C46">
        <v>73.708809090909099</v>
      </c>
      <c r="D46">
        <v>69.180785406260412</v>
      </c>
      <c r="E46">
        <v>58</v>
      </c>
      <c r="F46">
        <v>8.7666666666666657</v>
      </c>
      <c r="G46">
        <f t="shared" si="0"/>
        <v>5.8666666666666671</v>
      </c>
      <c r="H46">
        <v>68.617731862470862</v>
      </c>
      <c r="I46">
        <v>57.866666666666667</v>
      </c>
    </row>
    <row r="47" spans="1:9" x14ac:dyDescent="0.25">
      <c r="A47" t="s">
        <v>5</v>
      </c>
      <c r="B47">
        <v>40</v>
      </c>
      <c r="C47">
        <v>62.468809999999998</v>
      </c>
      <c r="D47">
        <v>67.520318003663007</v>
      </c>
      <c r="E47">
        <v>64</v>
      </c>
      <c r="F47">
        <v>6.4499999999999993</v>
      </c>
      <c r="G47">
        <f t="shared" si="0"/>
        <v>8.7666666666666657</v>
      </c>
      <c r="H47">
        <v>68.617731862470862</v>
      </c>
      <c r="I47">
        <v>57.866666666666667</v>
      </c>
    </row>
    <row r="48" spans="1:9" x14ac:dyDescent="0.25">
      <c r="A48" t="s">
        <v>5</v>
      </c>
      <c r="B48">
        <v>41</v>
      </c>
      <c r="C48">
        <v>62.599324999999993</v>
      </c>
      <c r="D48">
        <v>65.163291904761905</v>
      </c>
      <c r="E48">
        <v>56</v>
      </c>
      <c r="F48">
        <v>8.9913888888888884</v>
      </c>
      <c r="G48">
        <f t="shared" si="0"/>
        <v>6.4499999999999993</v>
      </c>
      <c r="H48">
        <v>68.617731862470862</v>
      </c>
      <c r="I48">
        <v>57.866666666666667</v>
      </c>
    </row>
    <row r="49" spans="1:9" x14ac:dyDescent="0.25">
      <c r="A49" t="s">
        <v>5</v>
      </c>
      <c r="B49">
        <v>42</v>
      </c>
      <c r="C49">
        <v>77.985836363636366</v>
      </c>
      <c r="D49">
        <v>69.089932813852812</v>
      </c>
      <c r="E49">
        <v>55</v>
      </c>
      <c r="F49">
        <v>6.0249999999999995</v>
      </c>
      <c r="G49">
        <f t="shared" si="0"/>
        <v>8.9913888888888884</v>
      </c>
      <c r="H49">
        <v>68.617731862470862</v>
      </c>
      <c r="I49">
        <v>57.866666666666667</v>
      </c>
    </row>
    <row r="50" spans="1:9" x14ac:dyDescent="0.25">
      <c r="A50" t="s">
        <v>5</v>
      </c>
      <c r="B50">
        <v>43</v>
      </c>
      <c r="C50">
        <v>68.916458333333338</v>
      </c>
      <c r="D50">
        <v>68.953551536796553</v>
      </c>
      <c r="E50">
        <v>54</v>
      </c>
      <c r="F50">
        <v>7.1750000000000007</v>
      </c>
      <c r="G50">
        <f t="shared" si="0"/>
        <v>6.0249999999999995</v>
      </c>
      <c r="H50">
        <v>68.617731862470862</v>
      </c>
      <c r="I50">
        <v>57.866666666666667</v>
      </c>
    </row>
    <row r="51" spans="1:9" x14ac:dyDescent="0.25">
      <c r="A51" t="s">
        <v>5</v>
      </c>
      <c r="B51">
        <v>44</v>
      </c>
      <c r="C51">
        <v>52.173472727272724</v>
      </c>
      <c r="D51">
        <v>67.259896450216459</v>
      </c>
      <c r="E51">
        <v>57</v>
      </c>
      <c r="F51">
        <v>7.1169444444444432</v>
      </c>
      <c r="G51">
        <f t="shared" si="0"/>
        <v>7.1750000000000007</v>
      </c>
      <c r="H51">
        <v>68.617731862470862</v>
      </c>
      <c r="I51">
        <v>57.866666666666667</v>
      </c>
    </row>
    <row r="52" spans="1:9" x14ac:dyDescent="0.25">
      <c r="A52" t="s">
        <v>5</v>
      </c>
      <c r="B52">
        <v>45</v>
      </c>
      <c r="C52">
        <v>68.873099999999994</v>
      </c>
      <c r="D52">
        <v>66.675115930735942</v>
      </c>
      <c r="E52">
        <v>56</v>
      </c>
      <c r="F52">
        <v>7.5249999999999977</v>
      </c>
      <c r="G52">
        <f t="shared" si="0"/>
        <v>7.1169444444444432</v>
      </c>
      <c r="H52">
        <v>68.617731862470862</v>
      </c>
      <c r="I52">
        <v>57.866666666666667</v>
      </c>
    </row>
    <row r="53" spans="1:9" x14ac:dyDescent="0.25">
      <c r="A53" t="s">
        <v>5</v>
      </c>
      <c r="B53">
        <v>46</v>
      </c>
      <c r="C53">
        <v>78.95464166666666</v>
      </c>
      <c r="D53">
        <v>67.424520584415575</v>
      </c>
      <c r="E53">
        <v>55</v>
      </c>
      <c r="F53">
        <v>8.5499999999999989</v>
      </c>
      <c r="G53">
        <f t="shared" si="0"/>
        <v>7.5249999999999977</v>
      </c>
      <c r="H53">
        <v>68.617731862470862</v>
      </c>
      <c r="I53">
        <v>57.866666666666667</v>
      </c>
    </row>
    <row r="54" spans="1:9" x14ac:dyDescent="0.25">
      <c r="A54" t="s">
        <v>5</v>
      </c>
      <c r="B54">
        <v>47</v>
      </c>
      <c r="C54">
        <v>68.273316666666659</v>
      </c>
      <c r="D54">
        <v>68.253735822510819</v>
      </c>
      <c r="E54">
        <v>66</v>
      </c>
      <c r="F54">
        <v>7.5666666666666682</v>
      </c>
      <c r="G54">
        <f t="shared" si="0"/>
        <v>8.5499999999999989</v>
      </c>
      <c r="H54">
        <v>68.617731862470862</v>
      </c>
      <c r="I54">
        <v>57.866666666666667</v>
      </c>
    </row>
    <row r="55" spans="1:9" x14ac:dyDescent="0.25">
      <c r="A55" t="s">
        <v>5</v>
      </c>
      <c r="B55">
        <v>48</v>
      </c>
      <c r="C55">
        <v>54.415433333333333</v>
      </c>
      <c r="D55">
        <v>67.08460844155843</v>
      </c>
      <c r="E55">
        <v>64</v>
      </c>
      <c r="F55">
        <v>8.783333333333335</v>
      </c>
      <c r="G55">
        <f t="shared" si="0"/>
        <v>7.5666666666666682</v>
      </c>
      <c r="H55">
        <v>68.617731862470862</v>
      </c>
      <c r="I55">
        <v>57.866666666666667</v>
      </c>
    </row>
    <row r="56" spans="1:9" x14ac:dyDescent="0.25">
      <c r="A56" t="s">
        <v>5</v>
      </c>
      <c r="B56">
        <v>49</v>
      </c>
      <c r="C56">
        <v>71.970366666666663</v>
      </c>
      <c r="D56">
        <v>66.225255627705636</v>
      </c>
      <c r="E56">
        <v>52</v>
      </c>
      <c r="F56">
        <v>8.4666666666666668</v>
      </c>
      <c r="G56">
        <f t="shared" si="0"/>
        <v>8.783333333333335</v>
      </c>
      <c r="H56">
        <v>68.617731862470862</v>
      </c>
      <c r="I56">
        <v>57.866666666666667</v>
      </c>
    </row>
    <row r="57" spans="1:9" x14ac:dyDescent="0.25">
      <c r="A57" t="s">
        <v>5</v>
      </c>
      <c r="B57">
        <v>50</v>
      </c>
      <c r="C57">
        <v>70.869108333333344</v>
      </c>
      <c r="D57">
        <v>66.504205627705616</v>
      </c>
      <c r="E57">
        <v>52</v>
      </c>
      <c r="F57">
        <v>7.5836111111111117</v>
      </c>
      <c r="G57">
        <f t="shared" si="0"/>
        <v>8.4666666666666668</v>
      </c>
      <c r="H57">
        <v>68.617731862470862</v>
      </c>
      <c r="I57">
        <v>57.866666666666667</v>
      </c>
    </row>
    <row r="58" spans="1:9" x14ac:dyDescent="0.25">
      <c r="A58" t="s">
        <v>5</v>
      </c>
      <c r="B58">
        <v>51</v>
      </c>
      <c r="C58">
        <v>58.407274999999998</v>
      </c>
      <c r="D58">
        <v>67.394748809523804</v>
      </c>
      <c r="E58">
        <v>53</v>
      </c>
      <c r="F58">
        <v>6.9919444444444441</v>
      </c>
      <c r="G58">
        <f t="shared" si="0"/>
        <v>7.5836111111111117</v>
      </c>
      <c r="H58">
        <v>68.617731862470862</v>
      </c>
      <c r="I58">
        <v>57.866666666666667</v>
      </c>
    </row>
    <row r="59" spans="1:9" x14ac:dyDescent="0.25">
      <c r="A59" t="s">
        <v>5</v>
      </c>
      <c r="B59">
        <v>52</v>
      </c>
      <c r="C59">
        <v>72.373908333333347</v>
      </c>
      <c r="D59">
        <v>67.894864285714306</v>
      </c>
      <c r="E59">
        <v>63</v>
      </c>
      <c r="F59">
        <v>7.0166666666666693</v>
      </c>
      <c r="G59">
        <f t="shared" si="0"/>
        <v>6.9919444444444441</v>
      </c>
      <c r="H59">
        <v>68.617731862470862</v>
      </c>
      <c r="I59">
        <v>57.866666666666667</v>
      </c>
    </row>
    <row r="60" spans="1:9" x14ac:dyDescent="0.25">
      <c r="A60" t="s">
        <v>5</v>
      </c>
      <c r="B60">
        <v>53</v>
      </c>
      <c r="C60">
        <v>68.029190909090914</v>
      </c>
      <c r="D60">
        <v>66.334085606060611</v>
      </c>
      <c r="E60">
        <v>58</v>
      </c>
      <c r="F60">
        <v>5.5583333333333318</v>
      </c>
      <c r="G60">
        <f t="shared" si="0"/>
        <v>7.0166666666666693</v>
      </c>
      <c r="H60">
        <v>68.617731862470862</v>
      </c>
      <c r="I60">
        <v>57.866666666666667</v>
      </c>
    </row>
    <row r="61" spans="1:9" x14ac:dyDescent="0.25">
      <c r="A61" t="s">
        <v>5</v>
      </c>
      <c r="B61">
        <v>54</v>
      </c>
      <c r="C61">
        <v>65.426241666666655</v>
      </c>
      <c r="D61">
        <v>65.927360606060603</v>
      </c>
      <c r="E61">
        <v>57</v>
      </c>
      <c r="F61">
        <v>7.9836111111111121</v>
      </c>
      <c r="G61">
        <f t="shared" si="0"/>
        <v>5.5583333333333318</v>
      </c>
      <c r="H61">
        <v>68.617731862470862</v>
      </c>
      <c r="I61">
        <v>57.866666666666667</v>
      </c>
    </row>
    <row r="62" spans="1:9" x14ac:dyDescent="0.25">
      <c r="A62" t="s">
        <v>5</v>
      </c>
      <c r="B62">
        <v>55</v>
      </c>
      <c r="C62">
        <v>62.779170000000001</v>
      </c>
      <c r="D62">
        <v>67.122180129870131</v>
      </c>
      <c r="E62">
        <v>58</v>
      </c>
      <c r="F62">
        <v>7.875</v>
      </c>
      <c r="G62">
        <f t="shared" si="0"/>
        <v>7.9836111111111121</v>
      </c>
      <c r="H62">
        <v>68.617731862470862</v>
      </c>
      <c r="I62">
        <v>57.866666666666667</v>
      </c>
    </row>
    <row r="63" spans="1:9" x14ac:dyDescent="0.25">
      <c r="A63" t="s">
        <v>5</v>
      </c>
      <c r="B63">
        <v>56</v>
      </c>
      <c r="C63">
        <v>62.737641666666669</v>
      </c>
      <c r="D63">
        <v>65.803219415584422</v>
      </c>
      <c r="E63">
        <v>55</v>
      </c>
      <c r="F63">
        <v>5.1999999999999993</v>
      </c>
      <c r="G63">
        <f t="shared" si="0"/>
        <v>7.875</v>
      </c>
      <c r="H63">
        <v>68.617731862470862</v>
      </c>
      <c r="I63">
        <v>57.866666666666667</v>
      </c>
    </row>
    <row r="64" spans="1:9" x14ac:dyDescent="0.25">
      <c r="A64" t="s">
        <v>5</v>
      </c>
      <c r="B64">
        <v>57</v>
      </c>
      <c r="C64">
        <v>76.482633333333325</v>
      </c>
      <c r="D64">
        <v>66.605151558441563</v>
      </c>
      <c r="E64">
        <v>59</v>
      </c>
      <c r="F64">
        <v>6.0083333333333337</v>
      </c>
      <c r="G64">
        <f t="shared" si="0"/>
        <v>5.1999999999999993</v>
      </c>
      <c r="H64">
        <v>68.617731862470862</v>
      </c>
      <c r="I64">
        <v>57.866666666666667</v>
      </c>
    </row>
    <row r="65" spans="1:9" x14ac:dyDescent="0.25">
      <c r="A65" t="s">
        <v>5</v>
      </c>
      <c r="B65">
        <v>58</v>
      </c>
      <c r="C65">
        <v>61.646727272727269</v>
      </c>
      <c r="D65">
        <v>67.067930454545461</v>
      </c>
      <c r="E65">
        <v>67</v>
      </c>
      <c r="F65">
        <v>7.6666666666666652</v>
      </c>
      <c r="G65">
        <f t="shared" si="0"/>
        <v>6.0083333333333337</v>
      </c>
      <c r="H65">
        <v>68.617731862470862</v>
      </c>
      <c r="I65">
        <v>57.866666666666667</v>
      </c>
    </row>
    <row r="66" spans="1:9" x14ac:dyDescent="0.25">
      <c r="A66" t="s">
        <v>5</v>
      </c>
      <c r="B66">
        <v>59</v>
      </c>
      <c r="C66">
        <v>64.917736363636379</v>
      </c>
      <c r="D66">
        <v>66.002763030303029</v>
      </c>
      <c r="E66">
        <v>62</v>
      </c>
      <c r="F66">
        <v>5.4</v>
      </c>
      <c r="G66">
        <f t="shared" si="0"/>
        <v>7.6666666666666652</v>
      </c>
      <c r="H66">
        <v>68.617731862470862</v>
      </c>
      <c r="I66">
        <v>57.866666666666667</v>
      </c>
    </row>
    <row r="67" spans="1:9" x14ac:dyDescent="0.25">
      <c r="A67" t="s">
        <v>5</v>
      </c>
      <c r="B67">
        <v>60</v>
      </c>
      <c r="C67">
        <v>75.70317272727273</v>
      </c>
      <c r="D67">
        <v>67.099046147186144</v>
      </c>
      <c r="E67">
        <v>65</v>
      </c>
      <c r="F67">
        <v>8.5166666666666675</v>
      </c>
      <c r="G67">
        <f t="shared" si="0"/>
        <v>5.4</v>
      </c>
      <c r="H67">
        <v>68.617731862470862</v>
      </c>
      <c r="I67">
        <v>57.866666666666667</v>
      </c>
    </row>
    <row r="68" spans="1:9" x14ac:dyDescent="0.25">
      <c r="A68" t="s">
        <v>6</v>
      </c>
      <c r="B68">
        <v>61</v>
      </c>
      <c r="C68">
        <v>78.072300000000013</v>
      </c>
      <c r="D68">
        <v>68.905625909090901</v>
      </c>
      <c r="E68">
        <v>63</v>
      </c>
      <c r="F68">
        <v>4.625</v>
      </c>
      <c r="G68">
        <f t="shared" si="0"/>
        <v>8.5166666666666675</v>
      </c>
      <c r="H68">
        <v>76.944971979797998</v>
      </c>
      <c r="I68">
        <v>61.733333333333334</v>
      </c>
    </row>
    <row r="69" spans="1:9" x14ac:dyDescent="0.25">
      <c r="A69" t="s">
        <v>6</v>
      </c>
      <c r="B69">
        <v>62</v>
      </c>
      <c r="C69">
        <v>76.955216666666658</v>
      </c>
      <c r="D69">
        <v>70.930775432900433</v>
      </c>
      <c r="E69">
        <v>60</v>
      </c>
      <c r="F69">
        <v>7.2250000000000005</v>
      </c>
      <c r="G69">
        <f t="shared" si="0"/>
        <v>4.625</v>
      </c>
      <c r="H69">
        <v>76.944971979797998</v>
      </c>
      <c r="I69">
        <v>61.733333333333334</v>
      </c>
    </row>
    <row r="70" spans="1:9" x14ac:dyDescent="0.25">
      <c r="A70" t="s">
        <v>6</v>
      </c>
      <c r="B70">
        <v>63</v>
      </c>
      <c r="C70">
        <v>68.429883333333322</v>
      </c>
      <c r="D70">
        <v>71.743952813852815</v>
      </c>
      <c r="E70">
        <v>58</v>
      </c>
      <c r="F70">
        <v>6.333333333333333</v>
      </c>
      <c r="G70">
        <f t="shared" si="0"/>
        <v>7.2250000000000005</v>
      </c>
      <c r="H70">
        <v>76.944971979797998</v>
      </c>
      <c r="I70">
        <v>61.733333333333334</v>
      </c>
    </row>
    <row r="71" spans="1:9" x14ac:dyDescent="0.25">
      <c r="A71" t="s">
        <v>6</v>
      </c>
      <c r="B71">
        <v>64</v>
      </c>
      <c r="C71">
        <v>61.792766666666665</v>
      </c>
      <c r="D71">
        <v>69.645400432900445</v>
      </c>
      <c r="E71">
        <v>67</v>
      </c>
      <c r="F71">
        <v>6.3999999999999995</v>
      </c>
      <c r="G71">
        <f t="shared" si="0"/>
        <v>6.333333333333333</v>
      </c>
      <c r="H71">
        <v>76.944971979797998</v>
      </c>
      <c r="I71">
        <v>61.733333333333334</v>
      </c>
    </row>
    <row r="72" spans="1:9" x14ac:dyDescent="0.25">
      <c r="A72" t="s">
        <v>6</v>
      </c>
      <c r="B72">
        <v>65</v>
      </c>
      <c r="C72">
        <v>75.586763636363628</v>
      </c>
      <c r="D72">
        <v>71.636834199134199</v>
      </c>
      <c r="E72">
        <v>65</v>
      </c>
      <c r="F72">
        <v>6.8502777777777766</v>
      </c>
      <c r="G72">
        <f t="shared" si="0"/>
        <v>6.3999999999999995</v>
      </c>
      <c r="H72">
        <v>76.944971979797998</v>
      </c>
      <c r="I72">
        <v>61.733333333333334</v>
      </c>
    </row>
    <row r="73" spans="1:9" x14ac:dyDescent="0.25">
      <c r="A73" t="s">
        <v>6</v>
      </c>
      <c r="B73">
        <v>66</v>
      </c>
      <c r="C73">
        <v>79.875475000000009</v>
      </c>
      <c r="D73">
        <v>73.773654004329018</v>
      </c>
      <c r="E73">
        <v>65</v>
      </c>
      <c r="F73">
        <v>5.6083333333333334</v>
      </c>
      <c r="G73">
        <f t="shared" si="0"/>
        <v>6.8502777777777766</v>
      </c>
      <c r="H73">
        <v>76.944971979797998</v>
      </c>
      <c r="I73">
        <v>61.733333333333334</v>
      </c>
    </row>
    <row r="74" spans="1:9" x14ac:dyDescent="0.25">
      <c r="A74" t="s">
        <v>6</v>
      </c>
      <c r="B74">
        <v>67</v>
      </c>
      <c r="C74">
        <v>78.914150000000006</v>
      </c>
      <c r="D74">
        <v>74.232365043290045</v>
      </c>
      <c r="E74">
        <v>63</v>
      </c>
      <c r="F74">
        <v>8.2000000000000011</v>
      </c>
      <c r="G74">
        <f t="shared" ref="G74:G97" si="1">F73</f>
        <v>5.6083333333333334</v>
      </c>
      <c r="H74">
        <v>76.944971979797998</v>
      </c>
      <c r="I74">
        <v>61.733333333333334</v>
      </c>
    </row>
    <row r="75" spans="1:9" x14ac:dyDescent="0.25">
      <c r="A75" t="s">
        <v>6</v>
      </c>
      <c r="B75">
        <v>68</v>
      </c>
      <c r="C75">
        <v>65.712236363636364</v>
      </c>
      <c r="D75">
        <v>72.466641666666661</v>
      </c>
      <c r="E75">
        <v>66</v>
      </c>
      <c r="F75">
        <v>6.8000000000000007</v>
      </c>
      <c r="G75">
        <f t="shared" si="1"/>
        <v>8.2000000000000011</v>
      </c>
      <c r="H75">
        <v>76.944971979797998</v>
      </c>
      <c r="I75">
        <v>61.733333333333334</v>
      </c>
    </row>
    <row r="76" spans="1:9" x14ac:dyDescent="0.25">
      <c r="A76" t="s">
        <v>6</v>
      </c>
      <c r="B76">
        <v>69</v>
      </c>
      <c r="C76">
        <v>53.106618181818178</v>
      </c>
      <c r="D76">
        <v>69.059699025974027</v>
      </c>
      <c r="E76">
        <v>60</v>
      </c>
      <c r="F76">
        <v>6.9416666666666682</v>
      </c>
      <c r="G76">
        <f t="shared" si="1"/>
        <v>6.8000000000000007</v>
      </c>
      <c r="H76">
        <v>76.944971979797998</v>
      </c>
      <c r="I76">
        <v>61.733333333333334</v>
      </c>
    </row>
    <row r="77" spans="1:9" x14ac:dyDescent="0.25">
      <c r="A77" t="s">
        <v>6</v>
      </c>
      <c r="B77">
        <v>70</v>
      </c>
      <c r="C77">
        <v>65.183341666666664</v>
      </c>
      <c r="D77">
        <v>68.595907359307361</v>
      </c>
      <c r="E77">
        <v>62</v>
      </c>
      <c r="F77">
        <v>5.3833333333333355</v>
      </c>
      <c r="G77">
        <f t="shared" si="1"/>
        <v>6.9416666666666682</v>
      </c>
      <c r="H77">
        <v>76.944971979797998</v>
      </c>
      <c r="I77">
        <v>61.733333333333334</v>
      </c>
    </row>
    <row r="78" spans="1:9" x14ac:dyDescent="0.25">
      <c r="A78" t="s">
        <v>6</v>
      </c>
      <c r="B78">
        <v>71</v>
      </c>
      <c r="C78">
        <v>57.768670000000007</v>
      </c>
      <c r="D78">
        <v>68.021036406926399</v>
      </c>
      <c r="E78">
        <v>61</v>
      </c>
      <c r="F78">
        <v>5.0083333333333329</v>
      </c>
      <c r="G78">
        <f t="shared" si="1"/>
        <v>5.3833333333333355</v>
      </c>
      <c r="H78">
        <v>76.944971979797998</v>
      </c>
      <c r="I78">
        <v>61.733333333333334</v>
      </c>
    </row>
    <row r="79" spans="1:9" x14ac:dyDescent="0.25">
      <c r="A79" t="s">
        <v>6</v>
      </c>
      <c r="B79">
        <v>72</v>
      </c>
      <c r="C79">
        <v>74.23084999999999</v>
      </c>
      <c r="D79">
        <v>67.827334458874446</v>
      </c>
      <c r="E79">
        <v>63</v>
      </c>
      <c r="F79">
        <v>5.6752777777777759</v>
      </c>
      <c r="G79">
        <f t="shared" si="1"/>
        <v>5.0083333333333329</v>
      </c>
      <c r="H79">
        <v>76.944971979797998</v>
      </c>
      <c r="I79">
        <v>61.733333333333334</v>
      </c>
    </row>
    <row r="80" spans="1:9" x14ac:dyDescent="0.25">
      <c r="A80" t="s">
        <v>6</v>
      </c>
      <c r="B80">
        <v>73</v>
      </c>
      <c r="C80">
        <v>74.974427272727269</v>
      </c>
      <c r="D80">
        <v>67.127184783549779</v>
      </c>
      <c r="E80">
        <v>66</v>
      </c>
      <c r="F80">
        <v>8.4333333333333336</v>
      </c>
      <c r="G80">
        <f t="shared" si="1"/>
        <v>5.6752777777777759</v>
      </c>
      <c r="H80">
        <v>76.944971979797998</v>
      </c>
      <c r="I80">
        <v>61.733333333333334</v>
      </c>
    </row>
    <row r="81" spans="1:9" x14ac:dyDescent="0.25">
      <c r="A81" t="s">
        <v>6</v>
      </c>
      <c r="B81">
        <v>74</v>
      </c>
      <c r="C81">
        <v>73.405290909090908</v>
      </c>
      <c r="D81">
        <v>66.34020491341991</v>
      </c>
      <c r="E81">
        <v>61</v>
      </c>
      <c r="F81">
        <v>6.3083333333333336</v>
      </c>
      <c r="G81">
        <f t="shared" si="1"/>
        <v>8.4333333333333336</v>
      </c>
      <c r="H81">
        <v>76.944971979797998</v>
      </c>
      <c r="I81">
        <v>61.733333333333334</v>
      </c>
    </row>
    <row r="82" spans="1:9" x14ac:dyDescent="0.25">
      <c r="A82" t="s">
        <v>6</v>
      </c>
      <c r="B82">
        <v>75</v>
      </c>
      <c r="C82">
        <v>62.045541666666672</v>
      </c>
      <c r="D82">
        <v>65.816391385281392</v>
      </c>
      <c r="E82">
        <v>63</v>
      </c>
      <c r="F82">
        <v>6.0000000000000018</v>
      </c>
      <c r="G82">
        <f t="shared" si="1"/>
        <v>6.3083333333333336</v>
      </c>
      <c r="H82">
        <v>76.944971979797998</v>
      </c>
      <c r="I82">
        <v>61.733333333333334</v>
      </c>
    </row>
    <row r="83" spans="1:9" x14ac:dyDescent="0.25">
      <c r="A83" t="s">
        <v>6</v>
      </c>
      <c r="B83">
        <v>76</v>
      </c>
      <c r="C83">
        <v>61.014841666666662</v>
      </c>
      <c r="D83">
        <v>66.946137597402597</v>
      </c>
      <c r="E83">
        <v>59</v>
      </c>
      <c r="F83">
        <v>7.5666666666666673</v>
      </c>
      <c r="G83">
        <f t="shared" si="1"/>
        <v>6.0000000000000018</v>
      </c>
      <c r="H83">
        <v>76.944971979797998</v>
      </c>
      <c r="I83">
        <v>61.733333333333334</v>
      </c>
    </row>
    <row r="84" spans="1:9" x14ac:dyDescent="0.25">
      <c r="A84" t="s">
        <v>6</v>
      </c>
      <c r="B84">
        <v>77</v>
      </c>
      <c r="C84">
        <v>66.536183333333327</v>
      </c>
      <c r="D84">
        <v>67.139400692640692</v>
      </c>
      <c r="E84">
        <v>64</v>
      </c>
      <c r="F84">
        <v>5.908333333333335</v>
      </c>
      <c r="G84">
        <f t="shared" si="1"/>
        <v>7.5666666666666673</v>
      </c>
      <c r="H84">
        <v>76.944971979797998</v>
      </c>
      <c r="I84">
        <v>61.733333333333334</v>
      </c>
    </row>
    <row r="85" spans="1:9" x14ac:dyDescent="0.25">
      <c r="A85" t="s">
        <v>6</v>
      </c>
      <c r="B85">
        <v>78</v>
      </c>
      <c r="C85">
        <v>62.849408333333336</v>
      </c>
      <c r="D85">
        <v>67.865220454545451</v>
      </c>
      <c r="E85">
        <v>59</v>
      </c>
      <c r="F85">
        <v>6.85</v>
      </c>
      <c r="G85">
        <f t="shared" si="1"/>
        <v>5.908333333333335</v>
      </c>
      <c r="H85">
        <v>76.944971979797998</v>
      </c>
      <c r="I85">
        <v>61.733333333333334</v>
      </c>
    </row>
    <row r="86" spans="1:9" x14ac:dyDescent="0.25">
      <c r="A86" t="s">
        <v>6</v>
      </c>
      <c r="B86">
        <v>79</v>
      </c>
      <c r="C86">
        <v>117.65377500000001</v>
      </c>
      <c r="D86">
        <v>74.068495454545456</v>
      </c>
      <c r="E86">
        <v>59</v>
      </c>
      <c r="F86">
        <v>5.5666666666666673</v>
      </c>
      <c r="G86">
        <f t="shared" si="1"/>
        <v>6.85</v>
      </c>
      <c r="H86">
        <v>76.944971979797998</v>
      </c>
      <c r="I86">
        <v>61.733333333333334</v>
      </c>
    </row>
    <row r="87" spans="1:9" x14ac:dyDescent="0.25">
      <c r="A87" t="s">
        <v>6</v>
      </c>
      <c r="B87">
        <v>80</v>
      </c>
      <c r="C87">
        <v>100.11380909090909</v>
      </c>
      <c r="D87">
        <v>77.659835714285705</v>
      </c>
      <c r="E87">
        <v>58</v>
      </c>
      <c r="F87">
        <v>6.116666666666668</v>
      </c>
      <c r="G87">
        <f t="shared" si="1"/>
        <v>5.5666666666666673</v>
      </c>
      <c r="H87">
        <v>76.944971979797998</v>
      </c>
      <c r="I87">
        <v>61.733333333333334</v>
      </c>
    </row>
    <row r="88" spans="1:9" x14ac:dyDescent="0.25">
      <c r="A88" t="s">
        <v>6</v>
      </c>
      <c r="B88">
        <v>81</v>
      </c>
      <c r="C88">
        <v>115.24366363636362</v>
      </c>
      <c r="D88">
        <v>83.636746103896115</v>
      </c>
      <c r="E88">
        <v>55</v>
      </c>
      <c r="F88">
        <v>8.3333333333333321</v>
      </c>
      <c r="G88">
        <f t="shared" si="1"/>
        <v>6.116666666666668</v>
      </c>
      <c r="H88">
        <v>76.944971979797998</v>
      </c>
      <c r="I88">
        <v>61.733333333333334</v>
      </c>
    </row>
    <row r="89" spans="1:9" x14ac:dyDescent="0.25">
      <c r="A89" t="s">
        <v>6</v>
      </c>
      <c r="B89">
        <v>82</v>
      </c>
      <c r="C89">
        <v>67.481018181818172</v>
      </c>
      <c r="D89">
        <v>84.413242748917739</v>
      </c>
      <c r="E89">
        <v>65</v>
      </c>
      <c r="F89">
        <v>8.4083333333333314</v>
      </c>
      <c r="G89">
        <f t="shared" si="1"/>
        <v>8.3333333333333321</v>
      </c>
      <c r="H89">
        <v>76.944971979797998</v>
      </c>
      <c r="I89">
        <v>61.733333333333334</v>
      </c>
    </row>
    <row r="90" spans="1:9" x14ac:dyDescent="0.25">
      <c r="A90" t="s">
        <v>6</v>
      </c>
      <c r="B90">
        <v>83</v>
      </c>
      <c r="C90">
        <v>63.998791666666669</v>
      </c>
      <c r="D90">
        <v>84.839521320346321</v>
      </c>
      <c r="E90">
        <v>65</v>
      </c>
      <c r="F90">
        <v>8.3083333333333336</v>
      </c>
      <c r="G90">
        <f t="shared" si="1"/>
        <v>8.4083333333333314</v>
      </c>
      <c r="H90">
        <v>76.944971979797998</v>
      </c>
      <c r="I90">
        <v>61.733333333333334</v>
      </c>
    </row>
    <row r="91" spans="1:9" x14ac:dyDescent="0.25">
      <c r="A91" t="s">
        <v>6</v>
      </c>
      <c r="B91">
        <v>84</v>
      </c>
      <c r="C91">
        <v>77.247018181818191</v>
      </c>
      <c r="D91">
        <v>86.369640584415592</v>
      </c>
      <c r="E91">
        <v>61</v>
      </c>
      <c r="F91">
        <v>6.5</v>
      </c>
      <c r="G91">
        <f t="shared" si="1"/>
        <v>8.3083333333333336</v>
      </c>
      <c r="H91">
        <v>76.944971979797998</v>
      </c>
      <c r="I91">
        <v>61.733333333333334</v>
      </c>
    </row>
    <row r="92" spans="1:9" x14ac:dyDescent="0.25">
      <c r="A92" t="s">
        <v>6</v>
      </c>
      <c r="B92">
        <v>85</v>
      </c>
      <c r="C92">
        <v>88.76818333333334</v>
      </c>
      <c r="D92">
        <v>90.072322727272734</v>
      </c>
      <c r="E92">
        <v>64</v>
      </c>
      <c r="F92">
        <v>5.6083333333333325</v>
      </c>
      <c r="G92">
        <f t="shared" si="1"/>
        <v>6.5</v>
      </c>
      <c r="H92">
        <v>76.944971979797998</v>
      </c>
      <c r="I92">
        <v>61.733333333333334</v>
      </c>
    </row>
    <row r="93" spans="1:9" x14ac:dyDescent="0.25">
      <c r="A93" t="s">
        <v>6</v>
      </c>
      <c r="B93">
        <v>86</v>
      </c>
      <c r="C93">
        <v>89.297783333333328</v>
      </c>
      <c r="D93">
        <v>86.021466774891763</v>
      </c>
      <c r="E93">
        <v>60</v>
      </c>
      <c r="F93">
        <v>7.508333333333332</v>
      </c>
      <c r="G93">
        <f t="shared" si="1"/>
        <v>5.6083333333333325</v>
      </c>
      <c r="H93">
        <v>76.944971979797998</v>
      </c>
      <c r="I93">
        <v>61.733333333333334</v>
      </c>
    </row>
    <row r="94" spans="1:9" x14ac:dyDescent="0.25">
      <c r="A94" t="s">
        <v>6</v>
      </c>
      <c r="B94">
        <v>87</v>
      </c>
      <c r="C94">
        <v>89.116945454545444</v>
      </c>
      <c r="D94">
        <v>84.450486255411263</v>
      </c>
      <c r="E94">
        <v>63</v>
      </c>
      <c r="F94">
        <v>6.85</v>
      </c>
      <c r="G94">
        <f t="shared" si="1"/>
        <v>7.508333333333332</v>
      </c>
      <c r="H94">
        <v>76.944971979797998</v>
      </c>
      <c r="I94">
        <v>61.733333333333334</v>
      </c>
    </row>
    <row r="95" spans="1:9" x14ac:dyDescent="0.25">
      <c r="A95" t="s">
        <v>6</v>
      </c>
      <c r="B95">
        <v>88</v>
      </c>
      <c r="C95">
        <v>119.08828181818181</v>
      </c>
      <c r="D95">
        <v>84.999717424242405</v>
      </c>
      <c r="E95">
        <v>59</v>
      </c>
      <c r="F95">
        <v>5.8583333333333325</v>
      </c>
      <c r="G95">
        <f t="shared" si="1"/>
        <v>6.85</v>
      </c>
      <c r="H95">
        <v>76.944971979797998</v>
      </c>
      <c r="I95">
        <v>61.733333333333334</v>
      </c>
    </row>
    <row r="96" spans="1:9" x14ac:dyDescent="0.25">
      <c r="A96" t="s">
        <v>6</v>
      </c>
      <c r="B96">
        <v>89</v>
      </c>
      <c r="C96">
        <v>82.857399999999998</v>
      </c>
      <c r="D96">
        <v>87.196343398268382</v>
      </c>
      <c r="E96">
        <v>59</v>
      </c>
      <c r="F96">
        <v>8.4580555555555534</v>
      </c>
      <c r="G96">
        <f t="shared" si="1"/>
        <v>5.8583333333333325</v>
      </c>
      <c r="H96">
        <v>76.944971979797998</v>
      </c>
      <c r="I96">
        <v>61.733333333333334</v>
      </c>
    </row>
    <row r="97" spans="1:9" x14ac:dyDescent="0.25">
      <c r="A97" t="s">
        <v>6</v>
      </c>
      <c r="B97">
        <v>90</v>
      </c>
      <c r="C97">
        <v>61.028525000000002</v>
      </c>
      <c r="D97">
        <v>86.772019588744598</v>
      </c>
      <c r="E97">
        <v>59</v>
      </c>
      <c r="F97">
        <v>5.8250000000000002</v>
      </c>
      <c r="G97">
        <f t="shared" si="1"/>
        <v>8.4580555555555534</v>
      </c>
      <c r="H97">
        <v>76.944971979797998</v>
      </c>
      <c r="I97">
        <v>61.733333333333334</v>
      </c>
    </row>
  </sheetData>
  <pageMargins left="0.7" right="0.7" top="0.75" bottom="0.75" header="0.3" footer="0.3"/>
  <pageSetup orientation="portrait" horizontalDpi="200" verticalDpi="20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Kareeb Rahman</dc:creator>
  <cp:lastModifiedBy>Kareeb Rahman</cp:lastModifiedBy>
  <dcterms:created xsi:type="dcterms:W3CDTF">2026-04-27T02:19:35Z</dcterms:created>
  <dcterms:modified xsi:type="dcterms:W3CDTF">2026-05-16T17:18:33Z</dcterms:modified>
</cp:coreProperties>
</file>